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bin" ContentType="application/vnd.openxmlformats-officedocument.oleObject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2" activeTab="2"/>
  </bookViews>
  <sheets>
    <sheet name="下单表 (2)" sheetId="4" state="hidden" r:id="rId1"/>
    <sheet name="报价单" sheetId="5" state="hidden" r:id="rId2"/>
    <sheet name="7-20装货单1柜" sheetId="11" r:id="rId3"/>
    <sheet name="7-20装货单2柜" sheetId="12" r:id="rId4"/>
    <sheet name="计重2" sheetId="3" state="hidden" r:id="rId5"/>
    <sheet name="Sheet1" sheetId="8" state="hidden" r:id="rId6"/>
  </sheets>
  <definedNames>
    <definedName name="_xlnm.Print_Area" localSheetId="0">'下单表 (2)'!$A$1:$L$42</definedName>
    <definedName name="_xlnm.Print_Area" localSheetId="2">'7-20装货单1柜'!#REF!</definedName>
    <definedName name="_xlnm.Print_Area" localSheetId="3">'7-20装货单2柜'!$A$28:$P$77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<sst xmlns="http://schemas.openxmlformats.org/spreadsheetml/2006/main" count="2295" uniqueCount="370">
  <si>
    <t>0-P</t>
  </si>
  <si>
    <r>
      <rPr>
        <b/>
        <sz val="16"/>
        <rFont val="宋体"/>
        <charset val="134"/>
      </rPr>
      <t>佛山市龙绅金属材料有限公司</t>
    </r>
    <r>
      <rPr>
        <b/>
        <sz val="12"/>
        <rFont val="宋体"/>
        <charset val="134"/>
      </rPr>
      <t xml:space="preserve">
 下</t>
    </r>
    <r>
      <rPr>
        <b/>
        <sz val="12"/>
        <rFont val="宋体"/>
        <charset val="134"/>
      </rPr>
      <t>單書</t>
    </r>
  </si>
  <si>
    <t>地盤名称：</t>
  </si>
  <si>
    <t>po編號：</t>
  </si>
  <si>
    <t>客户名稱：</t>
  </si>
  <si>
    <t>产品类型：</t>
  </si>
  <si>
    <t>批次：</t>
  </si>
  <si>
    <t>图纸类型:</t>
  </si>
  <si>
    <r>
      <rPr>
        <sz val="12"/>
        <rFont val="宋体"/>
        <charset val="134"/>
      </rPr>
      <t>A</t>
    </r>
    <r>
      <rPr>
        <sz val="12"/>
        <rFont val="宋体"/>
        <charset val="134"/>
      </rPr>
      <t>4</t>
    </r>
  </si>
  <si>
    <t>收貨人：</t>
  </si>
  <si>
    <t>送貨地址：</t>
  </si>
  <si>
    <t>序号</t>
  </si>
  <si>
    <t>圖號</t>
  </si>
  <si>
    <t>產品名稱</t>
  </si>
  <si>
    <t>產品编号</t>
  </si>
  <si>
    <t>規格尺寸(mm)</t>
  </si>
  <si>
    <t>单件重量</t>
  </si>
  <si>
    <t>数量</t>
  </si>
  <si>
    <t>合計重量</t>
  </si>
  <si>
    <t>面积m2/支</t>
  </si>
  <si>
    <t>总面积/m2</t>
  </si>
  <si>
    <t>特殊要求備注</t>
  </si>
  <si>
    <t>合计</t>
  </si>
  <si>
    <t>材料需求单</t>
  </si>
  <si>
    <t>材料名称</t>
  </si>
  <si>
    <t>材质</t>
  </si>
  <si>
    <t>表面处理</t>
  </si>
  <si>
    <t>规格</t>
  </si>
  <si>
    <t>注</t>
  </si>
  <si>
    <t>q235</t>
  </si>
  <si>
    <t>黑铁</t>
  </si>
  <si>
    <t>按激光排版</t>
  </si>
  <si>
    <r>
      <rPr>
        <sz val="12"/>
        <rFont val="宋体"/>
        <charset val="134"/>
      </rPr>
      <t>ss</t>
    </r>
    <r>
      <rPr>
        <sz val="12"/>
        <rFont val="宋体"/>
        <charset val="134"/>
      </rPr>
      <t>304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</si>
  <si>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B</t>
    </r>
  </si>
  <si>
    <r>
      <rPr>
        <sz val="12"/>
        <rFont val="宋体"/>
        <charset val="134"/>
      </rPr>
      <t>6米</t>
    </r>
    <r>
      <rPr>
        <sz val="12"/>
        <rFont val="宋体"/>
        <charset val="134"/>
      </rPr>
      <t>/条</t>
    </r>
  </si>
  <si>
    <t>ss316</t>
  </si>
  <si>
    <t>工业面</t>
  </si>
  <si>
    <t>工艺流程</t>
  </si>
  <si>
    <r>
      <rPr>
        <sz val="11"/>
        <rFont val="宋体"/>
        <charset val="134"/>
      </rPr>
      <t>激光-折弯</t>
    </r>
    <r>
      <rPr>
        <sz val="11"/>
        <rFont val="宋体"/>
        <charset val="134"/>
      </rPr>
      <t>-焊接-打磨</t>
    </r>
  </si>
  <si>
    <t>特殊要求</t>
  </si>
  <si>
    <t>交貨日期 ：</t>
  </si>
  <si>
    <t>制單:</t>
  </si>
  <si>
    <t>吕桓</t>
  </si>
  <si>
    <t>審核：</t>
  </si>
  <si>
    <t>童姣</t>
  </si>
  <si>
    <t>日期：</t>
  </si>
  <si>
    <r>
      <rPr>
        <b/>
        <sz val="9"/>
        <color rgb="FF000000"/>
        <rFont val="宋体"/>
        <charset val="134"/>
      </rPr>
      <t>佛山市龍紳金屬材料有限公司</t>
    </r>
    <r>
      <rPr>
        <b/>
        <sz val="9"/>
        <color indexed="8"/>
        <rFont val="Tahoma"/>
        <charset val="134"/>
      </rPr>
      <t xml:space="preserve">  </t>
    </r>
    <r>
      <rPr>
        <sz val="9"/>
        <color indexed="8"/>
        <rFont val="Tahoma"/>
        <charset val="134"/>
      </rPr>
      <t xml:space="preserve">                                                                                              </t>
    </r>
    <r>
      <rPr>
        <b/>
        <sz val="9"/>
        <color indexed="8"/>
        <rFont val="Tahoma"/>
        <charset val="134"/>
      </rPr>
      <t>FOSHAN LONGSHEN METALTIAL L.T.D</t>
    </r>
    <r>
      <rPr>
        <b/>
        <sz val="9"/>
        <color indexed="8"/>
        <rFont val="宋体"/>
        <charset val="134"/>
      </rPr>
      <t>　　</t>
    </r>
  </si>
  <si>
    <r>
      <rPr>
        <sz val="12"/>
        <color rgb="FF000000"/>
        <rFont val="楷体"/>
        <charset val="134"/>
      </rPr>
      <t>客户名称</t>
    </r>
    <r>
      <rPr>
        <sz val="12"/>
        <rFont val="楷体"/>
        <charset val="134"/>
      </rPr>
      <t>:远东（幕墙）珠海有限公司</t>
    </r>
  </si>
  <si>
    <t>业务联系人： 黄钧莉 15521159864</t>
  </si>
  <si>
    <r>
      <rPr>
        <sz val="12"/>
        <color rgb="FF000000"/>
        <rFont val="楷体"/>
        <charset val="134"/>
      </rPr>
      <t>联</t>
    </r>
    <r>
      <rPr>
        <sz val="12"/>
        <rFont val="楷体"/>
        <charset val="134"/>
      </rPr>
      <t xml:space="preserve"> </t>
    </r>
    <r>
      <rPr>
        <sz val="12"/>
        <color indexed="8"/>
        <rFont val="楷体"/>
        <charset val="134"/>
      </rPr>
      <t>系</t>
    </r>
    <r>
      <rPr>
        <sz val="12"/>
        <rFont val="楷体"/>
        <charset val="134"/>
      </rPr>
      <t xml:space="preserve"> </t>
    </r>
    <r>
      <rPr>
        <sz val="12"/>
        <color indexed="8"/>
        <rFont val="楷体"/>
        <charset val="134"/>
      </rPr>
      <t>人：</t>
    </r>
  </si>
  <si>
    <t>业务联系人： 吕  桓 18925952813</t>
  </si>
  <si>
    <r>
      <rPr>
        <sz val="12"/>
        <color rgb="FF000000"/>
        <rFont val="楷体"/>
        <charset val="134"/>
      </rPr>
      <t>客户电话</t>
    </r>
    <r>
      <rPr>
        <sz val="12"/>
        <rFont val="楷体"/>
        <charset val="134"/>
      </rPr>
      <t>:</t>
    </r>
  </si>
  <si>
    <t>联系电话: 86757-23605383</t>
  </si>
  <si>
    <r>
      <rPr>
        <sz val="12"/>
        <color rgb="FF000000"/>
        <rFont val="楷体"/>
        <charset val="134"/>
      </rPr>
      <t>客户传真</t>
    </r>
    <r>
      <rPr>
        <sz val="12"/>
        <rFont val="楷体"/>
        <charset val="134"/>
      </rPr>
      <t>:</t>
    </r>
  </si>
  <si>
    <t>传    真: 86757-23605382</t>
  </si>
  <si>
    <t>工程名称：</t>
  </si>
  <si>
    <t>SLTO</t>
  </si>
  <si>
    <t>名称</t>
  </si>
  <si>
    <t>尺寸规格</t>
  </si>
  <si>
    <t>数量（件）</t>
  </si>
  <si>
    <t>龙绅单件重量(KG）</t>
  </si>
  <si>
    <t>单件重量
(KG）</t>
  </si>
  <si>
    <t>总重量(KG）</t>
  </si>
  <si>
    <t>材料费
（元/Kg）</t>
  </si>
  <si>
    <t>加工费
（元/Kg）</t>
  </si>
  <si>
    <t>沥青费
（元/Kg）</t>
  </si>
  <si>
    <t>小件
（元/Kg）</t>
  </si>
  <si>
    <t>合并单价
（元/Kg）</t>
  </si>
  <si>
    <t>總價格
（元）</t>
  </si>
  <si>
    <t>存货名称</t>
  </si>
  <si>
    <t>加工图号</t>
  </si>
  <si>
    <t>工程编号</t>
  </si>
  <si>
    <t>地盘</t>
  </si>
  <si>
    <t>龙绅总重量</t>
  </si>
  <si>
    <t>单件重量对比</t>
  </si>
  <si>
    <t>拉弯费
（元）</t>
  </si>
  <si>
    <t>镀锌铁板</t>
  </si>
  <si>
    <t>VMU01-MSB-L001</t>
  </si>
  <si>
    <t>SLTO-VMU-0001-FST0003</t>
  </si>
  <si>
    <t>工地</t>
  </si>
  <si>
    <t>VMU01-MSB-L002</t>
  </si>
  <si>
    <t>VMU01-MSB-L003</t>
  </si>
  <si>
    <t>VMU01-MSB-L004</t>
  </si>
  <si>
    <t>VMU01-MSB-L005</t>
  </si>
  <si>
    <t>VMU01-MSB-L006</t>
  </si>
  <si>
    <t>VMU01-MSB-L007</t>
  </si>
  <si>
    <t>VMU01-MSB-L008</t>
  </si>
  <si>
    <t>VMU01-MSB-L015</t>
  </si>
  <si>
    <t>VMU01-MSB-L016</t>
  </si>
  <si>
    <t>VMU01-MSB-L017</t>
  </si>
  <si>
    <t>VMU01-MSB-L018</t>
  </si>
  <si>
    <t>VMU01-MSB-L019</t>
  </si>
  <si>
    <t>VMU01-MSB-L020</t>
  </si>
  <si>
    <t>VMU01-MSB-L021</t>
  </si>
  <si>
    <t>VMU01-MSB-L022</t>
  </si>
  <si>
    <t>VMU01-MSB-L023</t>
  </si>
  <si>
    <t>VMU01-MSB-L024</t>
  </si>
  <si>
    <t>VMU01-MSB-L025</t>
  </si>
  <si>
    <t>VMU01-MSB-L026</t>
  </si>
  <si>
    <t>VMU01-MSB-L101</t>
  </si>
  <si>
    <t>VMU01-MSB-L102</t>
  </si>
  <si>
    <t>VMU01-MSB-L103</t>
  </si>
  <si>
    <t>VMU01-MSB-L104</t>
  </si>
  <si>
    <t>VMU01-MSB-L105</t>
  </si>
  <si>
    <t>VMU01-MSB-L201</t>
  </si>
  <si>
    <t>镀锌钢通</t>
  </si>
  <si>
    <t>VMU01-MSH-L001</t>
  </si>
  <si>
    <t>VMU01-MSH-L002</t>
  </si>
  <si>
    <t>VMU01-MSH-L003</t>
  </si>
  <si>
    <t>VMU01-MSH-L004-1</t>
  </si>
  <si>
    <t>VMU01-MSH-L004</t>
  </si>
  <si>
    <t>VMU01-MSH-L004-2</t>
  </si>
  <si>
    <t>VMU01-MSH-L101</t>
  </si>
  <si>
    <t>VMU01-MSH-L102</t>
  </si>
  <si>
    <t>VMU01-MSH-L103</t>
  </si>
  <si>
    <t>镀锌圆通</t>
  </si>
  <si>
    <t>VMU01-MSH-L104</t>
  </si>
  <si>
    <t>VMU01-MSH-L105</t>
  </si>
  <si>
    <t>VMU01-MSH-L106</t>
  </si>
  <si>
    <t>VMU01-MSH-L107</t>
  </si>
  <si>
    <t>VMU01-MSH-L108</t>
  </si>
  <si>
    <t>VMU01-MSH-L109</t>
  </si>
  <si>
    <t>VMU01-MSH-L201</t>
  </si>
  <si>
    <t>VMU01-MSH-L301-1</t>
  </si>
  <si>
    <t>VMU01-MSH-L301</t>
  </si>
  <si>
    <t>VMU01-MSH-L301-2</t>
  </si>
  <si>
    <t>VMU01-MSH-L301-3</t>
  </si>
  <si>
    <t>VMU01-MSH-L301-4</t>
  </si>
  <si>
    <t>VMU01-MSH-L301-5</t>
  </si>
  <si>
    <t>VMU01-MSH-L301-6</t>
  </si>
  <si>
    <t>VMU01-MSH-L302</t>
  </si>
  <si>
    <t>VMU01-MSH-L303</t>
  </si>
  <si>
    <t>VMU01-MSH-L304</t>
  </si>
  <si>
    <t>VMU01-MSH-L305</t>
  </si>
  <si>
    <t>VMU01-MSH-L306</t>
  </si>
  <si>
    <t>VMU01-MSH-L307</t>
  </si>
  <si>
    <t>VMU01-MSH-L308</t>
  </si>
  <si>
    <t>VMU01-MSH-L309</t>
  </si>
  <si>
    <t>VMU01-MSH-L401-1</t>
  </si>
  <si>
    <t>VMU01-MSH-L401</t>
  </si>
  <si>
    <t>VMU01-MSH-L401-2</t>
  </si>
  <si>
    <t>VMU01-MSH-L401-3</t>
  </si>
  <si>
    <t>VMU01-MSH-L401-4</t>
  </si>
  <si>
    <t>VMU01-MSH-L401-5</t>
  </si>
  <si>
    <t>VMU01-MSH-L401-6</t>
  </si>
  <si>
    <t>VMU01-MSH-L401-7</t>
  </si>
  <si>
    <t>VMU01-MSH-L401-8</t>
  </si>
  <si>
    <t>VMU01-MSH-L401-9</t>
  </si>
  <si>
    <t>VMU01-MSH-L401-10</t>
  </si>
  <si>
    <t>VMU01-MSH-L401-11</t>
  </si>
  <si>
    <t>VMU01-MSH-L401-12</t>
  </si>
  <si>
    <t>VMU01-MSH-L402-1</t>
  </si>
  <si>
    <t>VMU01-MSH-L402</t>
  </si>
  <si>
    <t>VMU01-MSH-L402-2</t>
  </si>
  <si>
    <t>VMU01-MSH-L402-3</t>
  </si>
  <si>
    <t>VMU01-MSH-L402-4</t>
  </si>
  <si>
    <t>VMU01-MSH-L403</t>
  </si>
  <si>
    <t>VMU01-MSH-L404</t>
  </si>
  <si>
    <t>VMU01-MSH-L405</t>
  </si>
  <si>
    <t>VMU01-MSH-L406</t>
  </si>
  <si>
    <t>VMU01-MSH-L407</t>
  </si>
  <si>
    <t>VMU01-MSH-L408-1</t>
  </si>
  <si>
    <t>VMU01-MSH-L408</t>
  </si>
  <si>
    <t>VMU01-MSH-L408-2</t>
  </si>
  <si>
    <t>VMU01-MSH-L409</t>
  </si>
  <si>
    <t>VMU01-MSH-L410</t>
  </si>
  <si>
    <t>VMU01-MSH-L411</t>
  </si>
  <si>
    <t>VMU01-MSH-L412-1</t>
  </si>
  <si>
    <t>VMU01-MSH-L412</t>
  </si>
  <si>
    <t>VMU01-MSH-L412-2</t>
  </si>
  <si>
    <t>VMU01-MSH-L413</t>
  </si>
  <si>
    <t>VMU01-MSH-L414</t>
  </si>
  <si>
    <t>VMU01-MSH-L415</t>
  </si>
  <si>
    <t>VMU01-MSH-L416-1</t>
  </si>
  <si>
    <t>VMU01-MSH-L416</t>
  </si>
  <si>
    <t>VMU01-MSH-L416-2</t>
  </si>
  <si>
    <t>VMU01-MSH-L416-3</t>
  </si>
  <si>
    <t>VMU01-MSH-L416-4</t>
  </si>
  <si>
    <t>VMU01-MSH-L501-1</t>
  </si>
  <si>
    <t>VMU01-MSH-L501</t>
  </si>
  <si>
    <t>VMU01-MSH-L501-2</t>
  </si>
  <si>
    <t>VMU01-MSH-L501-3</t>
  </si>
  <si>
    <t>VMU01-MSH-L501-4</t>
  </si>
  <si>
    <t>VMU01-MSH-L501-5</t>
  </si>
  <si>
    <t>VMU01-MSH-L501-6</t>
  </si>
  <si>
    <t>VMU01-MSH-L501-7</t>
  </si>
  <si>
    <t>VMU01-MSH-L501-8</t>
  </si>
  <si>
    <t>VMU01-MSH-L501-9</t>
  </si>
  <si>
    <t>VMU01-MSH-L501-10</t>
  </si>
  <si>
    <t>VMU01-MSH-L501-11</t>
  </si>
  <si>
    <t>VMU01-MSH-L502-1</t>
  </si>
  <si>
    <t>VMU01-MSH-L502</t>
  </si>
  <si>
    <t>VMU01-MSH-L502-2</t>
  </si>
  <si>
    <t>VMU01-MSH-L502-3</t>
  </si>
  <si>
    <t>VMU01-MSH-L601</t>
  </si>
  <si>
    <t>VMU01-MSH-L602</t>
  </si>
  <si>
    <t>VMU01-MSH-L603</t>
  </si>
  <si>
    <t>VMU01-MSH-L604</t>
  </si>
  <si>
    <t>VMU01-MSH-L605</t>
  </si>
  <si>
    <t>VMU01-MSH-L606</t>
  </si>
  <si>
    <t>VMU01-MSH-L607</t>
  </si>
  <si>
    <t>VMU01-MSH-L608</t>
  </si>
  <si>
    <t>VMU01-MSH-L701-1</t>
  </si>
  <si>
    <t>VMU01-MSH-L701</t>
  </si>
  <si>
    <t>VMU01-MSH-L701-2</t>
  </si>
  <si>
    <t>VMU01-MSH-L701-3</t>
  </si>
  <si>
    <t>VMU01-MSH-L801</t>
  </si>
  <si>
    <t>VMU01-MSH-L802-1</t>
  </si>
  <si>
    <t>VMU01-MSH-L802</t>
  </si>
  <si>
    <t>VMU01-MSH-L802-2</t>
  </si>
  <si>
    <t>VMU01-MSH-L802-3</t>
  </si>
  <si>
    <t>VMU01-MSH-L901</t>
  </si>
  <si>
    <t>VMU01-MSH-L902</t>
  </si>
  <si>
    <t>VMU01-MSH-F101-1</t>
  </si>
  <si>
    <t>VMU01-MSH-F101</t>
  </si>
  <si>
    <t>没问题</t>
  </si>
  <si>
    <t>VMU01-MSH-F101-2</t>
  </si>
  <si>
    <t>VMU01-MSH-F101-3</t>
  </si>
  <si>
    <t>VMU01-MSH-F101-4</t>
  </si>
  <si>
    <t>VMU01-MSH-F201-1</t>
  </si>
  <si>
    <t>VMU01-MSH-F201</t>
  </si>
  <si>
    <t>VMU01-MSH-F201-2</t>
  </si>
  <si>
    <t>VMU01-MSH-F202</t>
  </si>
  <si>
    <t>VMU01-MSH-F203</t>
  </si>
  <si>
    <t>VMU01-MSH-F204</t>
  </si>
  <si>
    <t>VMU01-MSH-F205</t>
  </si>
  <si>
    <t>VMU01-MSH-F206</t>
  </si>
  <si>
    <t>VMU01-MSH-F207</t>
  </si>
  <si>
    <t>VMU01-MSH-F208</t>
  </si>
  <si>
    <t>VMU01-MSH-F209</t>
  </si>
  <si>
    <t>VMU01-MSH-F301-1</t>
  </si>
  <si>
    <t>VMU01-MSH-F301</t>
  </si>
  <si>
    <t>VMU01-MSH-F301-2</t>
  </si>
  <si>
    <t>VMU01-MSH-F301-3</t>
  </si>
  <si>
    <t>VMU01-MSH-F301-4</t>
  </si>
  <si>
    <t>VMU01-MSH-F301-5</t>
  </si>
  <si>
    <t>VMU01-MSH-F301-6</t>
  </si>
  <si>
    <t>VMU01-MSH-F301-7</t>
  </si>
  <si>
    <t>VMU01-MSH-F301-8</t>
  </si>
  <si>
    <t>VMU01-MSH-F302-1</t>
  </si>
  <si>
    <t>VMU01-MSH-F302</t>
  </si>
  <si>
    <t>VMU01-MSH-F302-2</t>
  </si>
  <si>
    <t>VMU01-MSH-F303</t>
  </si>
  <si>
    <t>VMU01-MSH-F304</t>
  </si>
  <si>
    <t>VMU01-MSH-F305</t>
  </si>
  <si>
    <t>VMU01-MSH-F306</t>
  </si>
  <si>
    <t>VMU01-MSH-F307</t>
  </si>
  <si>
    <t>VMU01-MSH-F308</t>
  </si>
  <si>
    <t>VMU01-MSH-F309</t>
  </si>
  <si>
    <t>VMU01-MSH-F310</t>
  </si>
  <si>
    <t>VMU01-MSH-F311</t>
  </si>
  <si>
    <t>VMU01-MSH-F312</t>
  </si>
  <si>
    <t>VMU01-MSH-F313</t>
  </si>
  <si>
    <t>VMU01-MSH-F314</t>
  </si>
  <si>
    <t>镀锌角铁</t>
  </si>
  <si>
    <t>VMU01-MSA-L001</t>
  </si>
  <si>
    <t>VMU01-MSA-L002</t>
  </si>
  <si>
    <t>VMU01-MSA-L003</t>
  </si>
  <si>
    <t>VMU01-MSA-L101-1</t>
  </si>
  <si>
    <t>VMU01-MSA-L101</t>
  </si>
  <si>
    <t>VMU01-MSA-L101-2</t>
  </si>
  <si>
    <t>VMU01-MSA-L101-3</t>
  </si>
  <si>
    <t>VMU01-MSA-L101-4</t>
  </si>
  <si>
    <t>VMU01-MSA-L101-5</t>
  </si>
  <si>
    <t>VMU01-MSA-L101-6</t>
  </si>
  <si>
    <t>VMU01-MSA-L101-7</t>
  </si>
  <si>
    <t>VMU01-MSA-L101-8</t>
  </si>
  <si>
    <t>VMU01-MSA-L101-9</t>
  </si>
  <si>
    <t>VMU01-MSA-L101-10</t>
  </si>
  <si>
    <t>VMU01-MSA-L101-11</t>
  </si>
  <si>
    <t>VMU01-MSA-L101-12</t>
  </si>
  <si>
    <t>VMU01-MSA-L101-13</t>
  </si>
  <si>
    <t>VMU01-MSA-L101-14</t>
  </si>
  <si>
    <t>VMU01-MSA-L101-15</t>
  </si>
  <si>
    <t>VMU01-MSA-L101-16</t>
  </si>
  <si>
    <t>VMU01-MSA-L101-17</t>
  </si>
  <si>
    <t>VMU01-MSA-L101-18</t>
  </si>
  <si>
    <t>VMU01-MSA-L101-19</t>
  </si>
  <si>
    <t>VMU01-MSA-L101-20</t>
  </si>
  <si>
    <t>VMU01-MSA-L101-21</t>
  </si>
  <si>
    <t>VMU01-MSA-L101-22</t>
  </si>
  <si>
    <t>VMU01-MSA-L101-23</t>
  </si>
  <si>
    <t>VMU01-MSA-L101-24</t>
  </si>
  <si>
    <t>VMU01-MSA-L101-25</t>
  </si>
  <si>
    <t>VMU01-MSA-L101-26</t>
  </si>
  <si>
    <t>VMU01-MSA-L101-27</t>
  </si>
  <si>
    <t>VMU01-MSA-L101-28</t>
  </si>
  <si>
    <t>VMU01-MSA-L101-29</t>
  </si>
  <si>
    <t>VMU01-MSA-L101-30</t>
  </si>
  <si>
    <t>VMU01-MSA-L102</t>
  </si>
  <si>
    <t>VMU01-MSA-L103</t>
  </si>
  <si>
    <t>VMU01-MSA-L104</t>
  </si>
  <si>
    <t>VMU01-MSA-L105</t>
  </si>
  <si>
    <t>VMU01-MSA-L106</t>
  </si>
  <si>
    <t>VMU01-MSA-L107</t>
  </si>
  <si>
    <t>VMU01-MSA-L108</t>
  </si>
  <si>
    <t>VMU01-MSA-L109</t>
  </si>
  <si>
    <t>VMU01-MSA-L201</t>
  </si>
  <si>
    <t>VMU01-MSA-L301</t>
  </si>
  <si>
    <t>VMU01-MSA-L302</t>
  </si>
  <si>
    <t>VMU01-MSA-L401</t>
  </si>
  <si>
    <t>VMU01-MSA-L402</t>
  </si>
  <si>
    <t>VMU01-MSA-L403</t>
  </si>
  <si>
    <t>VMU01-MSA-L404</t>
  </si>
  <si>
    <t>重量差异</t>
  </si>
  <si>
    <t>拉弯费</t>
  </si>
  <si>
    <t>铁笼费</t>
  </si>
  <si>
    <t>卡板费</t>
  </si>
  <si>
    <t>运费</t>
  </si>
  <si>
    <t>制单：童嬌</t>
  </si>
  <si>
    <t>审核：黄钧莉</t>
  </si>
  <si>
    <t>客户签名：</t>
  </si>
  <si>
    <t>装箱单</t>
  </si>
  <si>
    <t>1.1米铁架1号 4-8P 远东 新加坡陆路交通局办公楼项目-（SLTO）（SLT0-VMU-0001-FST0003-02）</t>
  </si>
  <si>
    <t>1.1米框1</t>
  </si>
  <si>
    <t>物料编码</t>
  </si>
  <si>
    <t>加工件编号</t>
  </si>
  <si>
    <t>加工图版本</t>
  </si>
  <si>
    <t>宽度W(mm)</t>
  </si>
  <si>
    <t>高度H(mm)</t>
  </si>
  <si>
    <t>长</t>
  </si>
  <si>
    <t>宽</t>
  </si>
  <si>
    <t>高</t>
  </si>
  <si>
    <t>单件重量(kg)</t>
  </si>
  <si>
    <t>单位</t>
  </si>
  <si>
    <t>总重(kg)</t>
  </si>
  <si>
    <t>备注</t>
  </si>
  <si>
    <t>PC</t>
  </si>
  <si>
    <t>0</t>
  </si>
  <si>
    <t/>
  </si>
  <si>
    <t>体积：长*宽*高</t>
  </si>
  <si>
    <t>m³</t>
  </si>
  <si>
    <t>1.1米铁架</t>
  </si>
  <si>
    <t>1.1米框2</t>
  </si>
  <si>
    <t>1.1米铁架2号 4-8P 远东 新加坡陆路交通局办公楼项目-（SLTO）（SLT0-VMU-0001-FST0003-02）</t>
  </si>
  <si>
    <t>1.1米框3</t>
  </si>
  <si>
    <t>1.1米铁架3号 4-8P 远东 新加坡陆路交通局办公楼项目-（SLTO）（SLT0-VMU-0001-FST0003-02）</t>
  </si>
  <si>
    <t>铁笼1</t>
  </si>
  <si>
    <t>铁笼1号 4-8P 远东 新加坡陆路交通局办公楼项目-（SLTO）（SLT0-VMU-0001-FST0003-02）</t>
  </si>
  <si>
    <t>VMU01-MSB-L027</t>
  </si>
  <si>
    <t>1个铁笼</t>
  </si>
  <si>
    <t>1080</t>
  </si>
  <si>
    <t>6米铁架5号 4-8P 远东 新加坡陆路交通局办公楼项目-（SLTO）（SLT0-VMU-0001-FST0003-02）</t>
  </si>
  <si>
    <t>6米铁架</t>
  </si>
  <si>
    <t>6米铁架6号 4-8P 远东 新加坡陆路交通局办公楼项目-（SLTO）（SLT0-VMU-0001-FST0003-02）</t>
  </si>
  <si>
    <t>合计体积：</t>
  </si>
  <si>
    <t>货柜号： CSNU6547612</t>
  </si>
  <si>
    <t>封条号： OOLKZD9664</t>
  </si>
  <si>
    <t>2米框1</t>
  </si>
  <si>
    <t>2米铁架1号 4-8P 远东 新加坡陆路交通局办公楼项目-（SLTO）（SLT0-VMU-0001-FST0003-02）</t>
  </si>
  <si>
    <t>2米铁架</t>
  </si>
  <si>
    <t>2000</t>
  </si>
  <si>
    <t>4米框1</t>
  </si>
  <si>
    <t>4米铁架2号 4-8P 远东 新加坡陆路交通局办公楼项目-（SLTO）（SLT0-VMU-0001-FST0003-02）</t>
  </si>
  <si>
    <t>4米铁架</t>
  </si>
  <si>
    <t>4米框2</t>
  </si>
  <si>
    <t>4米铁架3号 4-8P 远东 新加坡陆路交通局办公楼项目-（SLTO）（SLT0-VMU-0001-FST0003-02）</t>
  </si>
  <si>
    <t>配件名称</t>
  </si>
  <si>
    <t>重量</t>
  </si>
  <si>
    <t>长度</t>
  </si>
  <si>
    <t>宽度</t>
  </si>
  <si>
    <t>厚度</t>
  </si>
  <si>
    <t>面积</t>
  </si>
  <si>
    <t>密度</t>
  </si>
  <si>
    <t>米重</t>
  </si>
  <si>
    <t>总数量</t>
  </si>
  <si>
    <t>圆形物件</t>
  </si>
  <si>
    <t>半径</t>
  </si>
  <si>
    <t>物件</t>
  </si>
  <si>
    <t>配件数量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</si>
</sst>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"/>
    <numFmt numFmtId="178" formatCode="0.000_ "/>
    <numFmt numFmtId="179" formatCode="0.00_ "/>
    <numFmt numFmtId="180" formatCode="0.00_);[Red]\(0.00\)"/>
    <numFmt numFmtId="181" formatCode="0_);[Red]\(0\)"/>
    <numFmt numFmtId="182" formatCode="yyyy&quot;年&quot;m&quot;月&quot;d&quot;日&quot;;@"/>
  </numFmts>
  <fonts count="51">
    <font>
      <sz val="12"/>
      <name val="宋体"/>
      <charset val="134"/>
    </font>
    <font>
      <sz val="12"/>
      <color rgb="FFFF0000"/>
      <name val="宋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b/>
      <sz val="14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b/>
      <sz val="12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9"/>
      <color rgb="FF000000"/>
      <name val="宋体"/>
      <charset val="134"/>
    </font>
    <font>
      <sz val="12"/>
      <color rgb="FF000000"/>
      <name val="楷体"/>
      <charset val="134"/>
    </font>
    <font>
      <sz val="12"/>
      <name val="楷体"/>
      <charset val="134"/>
    </font>
    <font>
      <sz val="12"/>
      <color indexed="8"/>
      <name val="楷体"/>
      <charset val="134"/>
    </font>
    <font>
      <b/>
      <sz val="11"/>
      <color theme="1"/>
      <name val="宋体"/>
      <charset val="134"/>
    </font>
    <font>
      <b/>
      <sz val="10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name val="微软雅黑"/>
      <charset val="134"/>
    </font>
    <font>
      <sz val="10"/>
      <color rgb="FFFF0000"/>
      <name val="宋体"/>
      <charset val="134"/>
      <scheme val="minor"/>
    </font>
    <font>
      <sz val="10"/>
      <name val="宋体"/>
      <charset val="134"/>
    </font>
    <font>
      <sz val="9"/>
      <color theme="1"/>
      <name val="宋体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b/>
      <sz val="3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6"/>
      <name val="宋体"/>
      <charset val="134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indexed="8"/>
      <name val="Tahoma"/>
      <charset val="134"/>
    </font>
    <font>
      <sz val="9"/>
      <color indexed="8"/>
      <name val="Tahoma"/>
      <charset val="134"/>
    </font>
    <font>
      <b/>
      <sz val="9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3" fillId="5" borderId="1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" borderId="14" applyNumberFormat="0" applyAlignment="0" applyProtection="0">
      <alignment vertical="center"/>
    </xf>
    <xf numFmtId="0" fontId="38" fillId="7" borderId="15" applyNumberFormat="0" applyAlignment="0" applyProtection="0">
      <alignment vertical="center"/>
    </xf>
    <xf numFmtId="0" fontId="39" fillId="7" borderId="14" applyNumberFormat="0" applyAlignment="0" applyProtection="0">
      <alignment vertical="center"/>
    </xf>
    <xf numFmtId="0" fontId="40" fillId="8" borderId="16" applyNumberFormat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NumberFormat="1" applyFont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4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2" xfId="0" applyNumberFormat="1" applyFont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Border="1"/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179" fontId="3" fillId="0" borderId="1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180" fontId="0" fillId="0" borderId="0" xfId="0" applyNumberFormat="1" applyFill="1"/>
    <xf numFmtId="0" fontId="0" fillId="0" borderId="0" xfId="0" applyFill="1" applyAlignment="1">
      <alignment horizontal="center"/>
    </xf>
    <xf numFmtId="0" fontId="9" fillId="0" borderId="0" xfId="0" applyNumberFormat="1" applyFont="1" applyFill="1" applyAlignment="1"/>
    <xf numFmtId="0" fontId="9" fillId="0" borderId="0" xfId="0" applyFont="1" applyFill="1" applyAlignment="1"/>
    <xf numFmtId="180" fontId="9" fillId="0" borderId="0" xfId="0" applyNumberFormat="1" applyFont="1" applyFill="1" applyAlignment="1">
      <alignment horizontal="left"/>
    </xf>
    <xf numFmtId="0" fontId="9" fillId="0" borderId="0" xfId="0" applyFont="1" applyFill="1" applyAlignment="1">
      <alignment horizontal="left"/>
    </xf>
    <xf numFmtId="0" fontId="10" fillId="0" borderId="0" xfId="0" applyNumberFormat="1" applyFont="1" applyFill="1" applyAlignment="1"/>
    <xf numFmtId="0" fontId="10" fillId="0" borderId="0" xfId="0" applyFont="1" applyFill="1" applyAlignment="1"/>
    <xf numFmtId="0" fontId="11" fillId="0" borderId="0" xfId="0" applyFont="1" applyFill="1" applyAlignment="1"/>
    <xf numFmtId="0" fontId="11" fillId="0" borderId="0" xfId="0" applyFont="1" applyFill="1" applyAlignment="1">
      <alignment horizontal="left"/>
    </xf>
    <xf numFmtId="180" fontId="12" fillId="0" borderId="0" xfId="0" applyNumberFormat="1" applyFont="1" applyFill="1" applyAlignment="1">
      <alignment wrapText="1"/>
    </xf>
    <xf numFmtId="0" fontId="12" fillId="0" borderId="0" xfId="0" applyFont="1" applyFill="1" applyAlignment="1">
      <alignment horizontal="center" vertical="center" wrapText="1"/>
    </xf>
    <xf numFmtId="180" fontId="11" fillId="0" borderId="0" xfId="0" applyNumberFormat="1" applyFont="1" applyFill="1" applyAlignment="1"/>
    <xf numFmtId="0" fontId="10" fillId="0" borderId="0" xfId="0" applyFont="1" applyFill="1" applyAlignment="1">
      <alignment horizontal="left"/>
    </xf>
    <xf numFmtId="0" fontId="11" fillId="0" borderId="0" xfId="0" applyFont="1" applyFill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180" fontId="16" fillId="0" borderId="1" xfId="0" applyNumberFormat="1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181" fontId="16" fillId="0" borderId="0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2" fontId="18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180" fontId="19" fillId="0" borderId="1" xfId="0" applyNumberFormat="1" applyFont="1" applyFill="1" applyBorder="1" applyAlignment="1">
      <alignment horizontal="center" vertical="center"/>
    </xf>
    <xf numFmtId="181" fontId="19" fillId="0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9" fontId="0" fillId="0" borderId="0" xfId="0" applyNumberFormat="1" applyFill="1" applyBorder="1" applyAlignment="1">
      <alignment horizontal="center"/>
    </xf>
    <xf numFmtId="0" fontId="18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/>
    <xf numFmtId="177" fontId="18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/>
    <xf numFmtId="0" fontId="21" fillId="0" borderId="1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180" fontId="22" fillId="0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/>
    <xf numFmtId="0" fontId="2" fillId="0" borderId="0" xfId="0" applyFont="1" applyFill="1"/>
    <xf numFmtId="2" fontId="5" fillId="0" borderId="0" xfId="0" applyNumberFormat="1" applyFont="1" applyFill="1" applyBorder="1" applyAlignment="1">
      <alignment horizontal="center" vertical="center"/>
    </xf>
    <xf numFmtId="180" fontId="2" fillId="0" borderId="0" xfId="0" applyNumberFormat="1" applyFont="1" applyFill="1" applyAlignment="1">
      <alignment horizontal="right"/>
    </xf>
    <xf numFmtId="14" fontId="2" fillId="0" borderId="9" xfId="0" applyNumberFormat="1" applyFont="1" applyFill="1" applyBorder="1" applyAlignment="1">
      <alignment horizontal="left"/>
    </xf>
    <xf numFmtId="0" fontId="23" fillId="0" borderId="0" xfId="0" applyFont="1" applyFill="1" applyAlignment="1">
      <alignment horizontal="center" vertical="center"/>
    </xf>
    <xf numFmtId="0" fontId="23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/>
    <xf numFmtId="0" fontId="23" fillId="0" borderId="0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5" fillId="0" borderId="0" xfId="0" applyFont="1" applyFill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25" fillId="0" borderId="10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178" fontId="0" fillId="0" borderId="5" xfId="0" applyNumberFormat="1" applyFont="1" applyFill="1" applyBorder="1" applyAlignment="1">
      <alignment horizontal="center" vertical="center"/>
    </xf>
    <xf numFmtId="178" fontId="0" fillId="0" borderId="5" xfId="0" applyNumberFormat="1" applyFill="1" applyBorder="1" applyAlignment="1">
      <alignment horizontal="center" vertical="center"/>
    </xf>
    <xf numFmtId="178" fontId="0" fillId="0" borderId="6" xfId="0" applyNumberFormat="1" applyFill="1" applyBorder="1" applyAlignment="1">
      <alignment horizontal="center" vertical="center"/>
    </xf>
    <xf numFmtId="178" fontId="0" fillId="0" borderId="7" xfId="0" applyNumberFormat="1" applyFill="1" applyBorder="1" applyAlignment="1">
      <alignment horizontal="center" vertical="center"/>
    </xf>
    <xf numFmtId="0" fontId="1" fillId="0" borderId="0" xfId="0" applyFont="1"/>
    <xf numFmtId="0" fontId="0" fillId="0" borderId="6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178" fontId="0" fillId="0" borderId="3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78" fontId="0" fillId="0" borderId="2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79" fontId="0" fillId="0" borderId="7" xfId="0" applyNumberFormat="1" applyFont="1" applyFill="1" applyBorder="1" applyAlignment="1">
      <alignment horizontal="center" vertical="center" wrapText="1"/>
    </xf>
    <xf numFmtId="2" fontId="0" fillId="0" borderId="5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vertical="center"/>
    </xf>
    <xf numFmtId="49" fontId="0" fillId="0" borderId="1" xfId="0" applyNumberFormat="1" applyFill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182" fontId="27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82" fontId="26" fillId="0" borderId="5" xfId="0" applyNumberFormat="1" applyFont="1" applyBorder="1" applyAlignment="1">
      <alignment horizontal="center" vertical="center"/>
    </xf>
    <xf numFmtId="182" fontId="26" fillId="0" borderId="7" xfId="0" applyNumberFormat="1" applyFont="1" applyBorder="1" applyAlignment="1">
      <alignment horizontal="center" vertical="center"/>
    </xf>
    <xf numFmtId="182" fontId="25" fillId="0" borderId="1" xfId="0" applyNumberFormat="1" applyFont="1" applyBorder="1" applyAlignment="1">
      <alignment horizontal="center" vertical="center"/>
    </xf>
    <xf numFmtId="182" fontId="27" fillId="0" borderId="5" xfId="0" applyNumberFormat="1" applyFont="1" applyBorder="1" applyAlignment="1">
      <alignment horizontal="center" vertical="center"/>
    </xf>
    <xf numFmtId="182" fontId="27" fillId="0" borderId="6" xfId="0" applyNumberFormat="1" applyFont="1" applyBorder="1" applyAlignment="1">
      <alignment horizontal="center" vertical="center"/>
    </xf>
    <xf numFmtId="182" fontId="27" fillId="0" borderId="7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vertical="center"/>
    </xf>
    <xf numFmtId="0" fontId="0" fillId="0" borderId="5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 wrapText="1"/>
    </xf>
    <xf numFmtId="0" fontId="25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5" fillId="4" borderId="5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6" fillId="4" borderId="9" xfId="0" applyFont="1" applyFill="1" applyBorder="1" applyAlignment="1">
      <alignment horizontal="center" vertical="center" wrapText="1"/>
    </xf>
    <xf numFmtId="182" fontId="26" fillId="4" borderId="9" xfId="0" applyNumberFormat="1" applyFont="1" applyFill="1" applyBorder="1" applyAlignment="1">
      <alignment horizontal="left" vertical="center" wrapText="1"/>
    </xf>
    <xf numFmtId="0" fontId="26" fillId="4" borderId="9" xfId="0" applyFont="1" applyFill="1" applyBorder="1" applyAlignment="1">
      <alignment horizontal="left" vertical="center" wrapText="1"/>
    </xf>
    <xf numFmtId="0" fontId="26" fillId="4" borderId="9" xfId="0" applyFont="1" applyFill="1" applyBorder="1" applyAlignment="1">
      <alignment vertical="center" wrapText="1"/>
    </xf>
    <xf numFmtId="0" fontId="26" fillId="0" borderId="0" xfId="0" applyFont="1" applyAlignment="1">
      <alignment horizontal="left" vertical="center"/>
    </xf>
    <xf numFmtId="0" fontId="28" fillId="2" borderId="0" xfId="0" applyFont="1" applyFill="1" applyAlignment="1">
      <alignment horizontal="center" vertical="center"/>
    </xf>
    <xf numFmtId="178" fontId="26" fillId="0" borderId="0" xfId="0" applyNumberFormat="1" applyFont="1" applyAlignment="1">
      <alignment horizontal="center" vertical="center"/>
    </xf>
    <xf numFmtId="0" fontId="26" fillId="0" borderId="0" xfId="0" applyFont="1"/>
    <xf numFmtId="178" fontId="26" fillId="0" borderId="0" xfId="0" applyNumberFormat="1" applyFont="1" applyAlignment="1">
      <alignment horizontal="center"/>
    </xf>
    <xf numFmtId="0" fontId="2" fillId="0" borderId="0" xfId="0" applyFont="1"/>
    <xf numFmtId="182" fontId="26" fillId="0" borderId="0" xfId="0" applyNumberFormat="1" applyFont="1" applyAlignment="1">
      <alignment horizontal="center" vertical="center"/>
    </xf>
    <xf numFmtId="182" fontId="26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1" xfId="49"/>
    <cellStyle name="常规 2 30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304800</xdr:colOff>
      <xdr:row>0</xdr:row>
      <xdr:rowOff>32239</xdr:rowOff>
    </xdr:from>
    <xdr:to>
      <xdr:col>7</xdr:col>
      <xdr:colOff>558311</xdr:colOff>
      <xdr:row>0</xdr:row>
      <xdr:rowOff>487974</xdr:rowOff>
    </xdr:to>
    <xdr:sp>
      <xdr:nvSpPr>
        <xdr:cNvPr id="2" name="WordArt 3"/>
        <xdr:cNvSpPr>
          <a:spLocks noChangeArrowheads="1" noChangeShapeType="1" noTextEdit="1"/>
        </xdr:cNvSpPr>
      </xdr:nvSpPr>
      <xdr:spPr>
        <a:xfrm>
          <a:off x="4305300" y="31750"/>
          <a:ext cx="872490" cy="45593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zh-CN" sz="3600" u="sng" kern="10" spc="0">
              <a:ln w="9525">
                <a:solidFill>
                  <a:srgbClr val="000000"/>
                </a:solidFill>
                <a:round/>
              </a:ln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LS</a:t>
          </a:r>
          <a:endParaRPr lang="zh-CN" altLang="en-US" sz="3600" u="sng" kern="10" spc="0">
            <a:ln w="9525">
              <a:solidFill>
                <a:srgbClr val="000000"/>
              </a:solidFill>
              <a:round/>
            </a:ln>
            <a:solidFill>
              <a:srgbClr val="FF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3</xdr:col>
      <xdr:colOff>514350</xdr:colOff>
      <xdr:row>0</xdr:row>
      <xdr:rowOff>95250</xdr:rowOff>
    </xdr:from>
    <xdr:to>
      <xdr:col>4</xdr:col>
      <xdr:colOff>0</xdr:colOff>
      <xdr:row>1</xdr:row>
      <xdr:rowOff>0</xdr:rowOff>
    </xdr:to>
    <xdr:sp>
      <xdr:nvSpPr>
        <xdr:cNvPr id="3" name="WordArt 5"/>
        <xdr:cNvSpPr>
          <a:spLocks noChangeArrowheads="1" noChangeShapeType="1" noTextEdit="1"/>
        </xdr:cNvSpPr>
      </xdr:nvSpPr>
      <xdr:spPr>
        <a:xfrm>
          <a:off x="2581275" y="95250"/>
          <a:ext cx="171450" cy="41211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zh-CN" altLang="en-US" sz="3600" u="sng" kern="10" cap="small" spc="0">
            <a:ln w="9525">
              <a:solidFill>
                <a:srgbClr val="000000"/>
              </a:solidFill>
              <a:round/>
            </a:ln>
            <a:solidFill>
              <a:srgbClr val="FF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8</xdr:col>
      <xdr:colOff>152400</xdr:colOff>
      <xdr:row>1</xdr:row>
      <xdr:rowOff>76200</xdr:rowOff>
    </xdr:from>
    <xdr:to>
      <xdr:col>13</xdr:col>
      <xdr:colOff>133350</xdr:colOff>
      <xdr:row>2</xdr:row>
      <xdr:rowOff>19050</xdr:rowOff>
    </xdr:to>
    <xdr:sp>
      <xdr:nvSpPr>
        <xdr:cNvPr id="5" name="WordArt 3"/>
        <xdr:cNvSpPr>
          <a:spLocks noChangeArrowheads="1" noChangeShapeType="1" noTextEdit="1"/>
        </xdr:cNvSpPr>
      </xdr:nvSpPr>
      <xdr:spPr>
        <a:xfrm>
          <a:off x="5457825" y="583565"/>
          <a:ext cx="3076575" cy="1524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zh-CN" altLang="en-US" sz="3600" u="sng" kern="10" cap="small" spc="0">
            <a:ln w="9525">
              <a:solidFill>
                <a:srgbClr val="000000"/>
              </a:solidFill>
              <a:round/>
            </a:ln>
            <a:solidFill>
              <a:srgbClr val="FF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8</xdr:col>
      <xdr:colOff>152400</xdr:colOff>
      <xdr:row>1</xdr:row>
      <xdr:rowOff>76200</xdr:rowOff>
    </xdr:from>
    <xdr:to>
      <xdr:col>13</xdr:col>
      <xdr:colOff>133350</xdr:colOff>
      <xdr:row>2</xdr:row>
      <xdr:rowOff>19050</xdr:rowOff>
    </xdr:to>
    <xdr:sp>
      <xdr:nvSpPr>
        <xdr:cNvPr id="6" name="WordArt 3"/>
        <xdr:cNvSpPr>
          <a:spLocks noChangeArrowheads="1" noChangeShapeType="1" noTextEdit="1"/>
        </xdr:cNvSpPr>
      </xdr:nvSpPr>
      <xdr:spPr>
        <a:xfrm>
          <a:off x="5457825" y="583565"/>
          <a:ext cx="3076575" cy="1524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zh-CN" altLang="en-US" sz="3600" u="sng" kern="10" cap="small" spc="0">
            <a:ln w="9525">
              <a:solidFill>
                <a:srgbClr val="000000"/>
              </a:solidFill>
              <a:round/>
            </a:ln>
            <a:solidFill>
              <a:srgbClr val="FF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247650</xdr:colOff>
          <xdr:row>216</xdr:row>
          <xdr:rowOff>95250</xdr:rowOff>
        </xdr:from>
        <xdr:to>
          <xdr:col>15</xdr:col>
          <xdr:colOff>723900</xdr:colOff>
          <xdr:row>220</xdr:row>
          <xdr:rowOff>152400</xdr:rowOff>
        </xdr:to>
        <xdr:sp>
          <xdr:nvSpPr>
            <xdr:cNvPr id="4098" name="Object 38501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8648700" y="52345590"/>
              <a:ext cx="2466975" cy="101981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"/>
  <sheetViews>
    <sheetView topLeftCell="A10" workbookViewId="0">
      <selection activeCell="A31" sqref="A31:A36"/>
    </sheetView>
  </sheetViews>
  <sheetFormatPr defaultColWidth="9" defaultRowHeight="14.25"/>
  <cols>
    <col min="1" max="1" width="6.625" customWidth="1"/>
    <col min="2" max="4" width="12.625" customWidth="1"/>
    <col min="5" max="6" width="8" customWidth="1"/>
    <col min="7" max="7" width="10.625" customWidth="1"/>
    <col min="8" max="8" width="8.625" customWidth="1"/>
    <col min="9" max="9" width="10.625" customWidth="1"/>
    <col min="10" max="12" width="12.625" customWidth="1"/>
    <col min="13" max="13" width="12" style="1" customWidth="1"/>
    <col min="14" max="14" width="10.375" customWidth="1"/>
    <col min="15" max="15" width="18.125" customWidth="1"/>
    <col min="16" max="16" width="9" hidden="1" customWidth="1"/>
    <col min="18" max="18" width="10.375" customWidth="1"/>
  </cols>
  <sheetData>
    <row r="1" ht="24.95" customHeight="1" spans="1:15">
      <c r="A1" s="123" t="s">
        <v>0</v>
      </c>
      <c r="B1" s="123"/>
      <c r="C1" s="123"/>
      <c r="D1" s="124" t="s">
        <v>1</v>
      </c>
      <c r="E1" s="125"/>
      <c r="F1" s="125"/>
      <c r="G1" s="125"/>
      <c r="H1" s="125"/>
      <c r="I1" s="125"/>
      <c r="J1" s="125"/>
      <c r="K1" s="125"/>
      <c r="L1" s="125"/>
    </row>
    <row r="2" ht="19.5" customHeight="1" spans="1:15">
      <c r="A2" s="123"/>
      <c r="B2" s="123"/>
      <c r="C2" s="123"/>
      <c r="D2" s="126"/>
      <c r="E2" s="126"/>
      <c r="F2" s="126"/>
      <c r="G2" s="126"/>
      <c r="H2" s="126"/>
      <c r="I2" s="126"/>
      <c r="J2" s="126"/>
      <c r="K2" s="126"/>
      <c r="L2" s="126"/>
    </row>
    <row r="3" ht="22.5" customHeight="1" spans="1:15">
      <c r="A3" s="127" t="s">
        <v>2</v>
      </c>
      <c r="B3" s="128"/>
      <c r="C3" s="129"/>
      <c r="D3" s="7" t="s">
        <v>3</v>
      </c>
      <c r="E3" s="26"/>
      <c r="F3" s="130"/>
      <c r="G3" s="130"/>
      <c r="H3" s="131"/>
      <c r="I3" s="132" t="s">
        <v>4</v>
      </c>
      <c r="J3" s="7"/>
      <c r="K3" s="7"/>
      <c r="L3" s="7"/>
    </row>
    <row r="4" ht="21" customHeight="1" spans="1:15">
      <c r="A4" s="127" t="s">
        <v>5</v>
      </c>
      <c r="B4" s="128"/>
      <c r="C4" s="129"/>
      <c r="D4" s="7" t="s">
        <v>6</v>
      </c>
      <c r="E4" s="133" t="str">
        <f>A1</f>
        <v>0-P</v>
      </c>
      <c r="F4" s="134"/>
      <c r="G4" s="134"/>
      <c r="H4" s="135"/>
      <c r="I4" s="132" t="s">
        <v>7</v>
      </c>
      <c r="J4" s="58" t="s">
        <v>8</v>
      </c>
      <c r="K4" s="58"/>
      <c r="L4" s="58"/>
      <c r="O4" s="136"/>
    </row>
    <row r="5" ht="21" customHeight="1" spans="1:15">
      <c r="A5" s="127" t="s">
        <v>9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8"/>
      <c r="O5" s="136"/>
    </row>
    <row r="6" ht="20.25" customHeight="1" spans="1:15">
      <c r="A6" s="139" t="s">
        <v>10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7"/>
    </row>
    <row r="7" ht="15.95" customHeight="1" spans="1:15">
      <c r="A7" s="7" t="s">
        <v>11</v>
      </c>
      <c r="B7" s="7" t="s">
        <v>12</v>
      </c>
      <c r="C7" s="7" t="s">
        <v>13</v>
      </c>
      <c r="D7" s="7" t="s">
        <v>14</v>
      </c>
      <c r="E7" s="7" t="s">
        <v>15</v>
      </c>
      <c r="F7" s="7"/>
      <c r="G7" s="140" t="s">
        <v>16</v>
      </c>
      <c r="H7" s="7" t="s">
        <v>17</v>
      </c>
      <c r="I7" s="140" t="s">
        <v>18</v>
      </c>
      <c r="J7" s="58" t="s">
        <v>19</v>
      </c>
      <c r="K7" s="58" t="s">
        <v>20</v>
      </c>
      <c r="L7" s="141" t="s">
        <v>21</v>
      </c>
    </row>
    <row r="8" ht="15.95" customHeight="1" spans="1:15">
      <c r="A8" s="7"/>
      <c r="B8" s="7"/>
      <c r="C8" s="7"/>
      <c r="D8" s="7"/>
      <c r="E8" s="7"/>
      <c r="F8" s="7"/>
      <c r="G8" s="142"/>
      <c r="H8" s="7"/>
      <c r="I8" s="142"/>
      <c r="J8" s="58"/>
      <c r="K8" s="58"/>
      <c r="L8" s="143"/>
    </row>
    <row r="9" ht="15.95" customHeight="1" spans="1:15">
      <c r="A9" s="7">
        <f t="shared" ref="A9:A28" si="0">ROW()-8</f>
        <v>1</v>
      </c>
      <c r="B9" s="7"/>
      <c r="C9" s="7"/>
      <c r="D9" s="7"/>
      <c r="E9" s="26"/>
      <c r="F9" s="131"/>
      <c r="G9" s="144"/>
      <c r="H9" s="4"/>
      <c r="I9" s="145"/>
      <c r="J9" s="58"/>
      <c r="K9" s="58"/>
      <c r="L9" s="143"/>
    </row>
    <row r="10" ht="15.95" customHeight="1" spans="1:15">
      <c r="A10" s="7">
        <f t="shared" si="0"/>
        <v>2</v>
      </c>
      <c r="B10" s="7"/>
      <c r="C10" s="7"/>
      <c r="D10" s="7"/>
      <c r="E10" s="146"/>
      <c r="F10" s="138"/>
      <c r="G10" s="144"/>
      <c r="H10" s="4"/>
      <c r="I10" s="145"/>
      <c r="J10" s="58"/>
      <c r="K10" s="58"/>
      <c r="L10" s="143"/>
    </row>
    <row r="11" ht="15.95" customHeight="1" spans="1:15">
      <c r="A11" s="7">
        <f t="shared" si="0"/>
        <v>3</v>
      </c>
      <c r="B11" s="7"/>
      <c r="C11" s="7"/>
      <c r="D11" s="7"/>
      <c r="E11" s="146"/>
      <c r="F11" s="138"/>
      <c r="G11" s="144"/>
      <c r="H11" s="4"/>
      <c r="I11" s="145"/>
      <c r="J11" s="58"/>
      <c r="K11" s="58"/>
      <c r="L11" s="143"/>
    </row>
    <row r="12" ht="15.95" customHeight="1" spans="1:15">
      <c r="A12" s="7">
        <f t="shared" si="0"/>
        <v>4</v>
      </c>
      <c r="B12" s="7"/>
      <c r="C12" s="7"/>
      <c r="D12" s="7"/>
      <c r="E12" s="146"/>
      <c r="F12" s="138"/>
      <c r="G12" s="144"/>
      <c r="H12" s="4"/>
      <c r="I12" s="145"/>
      <c r="J12" s="58"/>
      <c r="K12" s="58"/>
      <c r="L12" s="143"/>
    </row>
    <row r="13" ht="15.95" customHeight="1" spans="1:15">
      <c r="A13" s="7">
        <f t="shared" si="0"/>
        <v>5</v>
      </c>
      <c r="B13" s="7"/>
      <c r="C13" s="7"/>
      <c r="D13" s="7"/>
      <c r="E13" s="146"/>
      <c r="F13" s="138"/>
      <c r="G13" s="144"/>
      <c r="H13" s="4"/>
      <c r="I13" s="145"/>
      <c r="J13" s="58"/>
      <c r="K13" s="58"/>
      <c r="L13" s="143"/>
    </row>
    <row r="14" ht="15.95" customHeight="1" spans="1:15">
      <c r="A14" s="7">
        <f t="shared" si="0"/>
        <v>6</v>
      </c>
      <c r="B14" s="7"/>
      <c r="C14" s="7"/>
      <c r="D14" s="7"/>
      <c r="E14" s="146"/>
      <c r="F14" s="138"/>
      <c r="G14" s="144"/>
      <c r="H14" s="4"/>
      <c r="I14" s="145"/>
      <c r="J14" s="58"/>
      <c r="K14" s="58"/>
      <c r="L14" s="143"/>
    </row>
    <row r="15" ht="15.95" customHeight="1" spans="1:15">
      <c r="A15" s="7">
        <f t="shared" si="0"/>
        <v>7</v>
      </c>
      <c r="B15" s="7"/>
      <c r="C15" s="7"/>
      <c r="D15" s="7"/>
      <c r="E15" s="146"/>
      <c r="F15" s="138"/>
      <c r="G15" s="144"/>
      <c r="H15" s="4"/>
      <c r="I15" s="145"/>
      <c r="J15" s="58"/>
      <c r="K15" s="58"/>
      <c r="L15" s="143"/>
    </row>
    <row r="16" ht="15.95" customHeight="1" spans="1:15">
      <c r="A16" s="7">
        <f t="shared" si="0"/>
        <v>8</v>
      </c>
      <c r="B16" s="7"/>
      <c r="C16" s="7"/>
      <c r="D16" s="7"/>
      <c r="E16" s="146"/>
      <c r="F16" s="138"/>
      <c r="G16" s="144"/>
      <c r="H16" s="4"/>
      <c r="I16" s="145"/>
      <c r="J16" s="58"/>
      <c r="K16" s="58"/>
      <c r="L16" s="143"/>
    </row>
    <row r="17" ht="15.95" customHeight="1" spans="1:14">
      <c r="A17" s="7">
        <f t="shared" si="0"/>
        <v>9</v>
      </c>
      <c r="B17" s="7"/>
      <c r="C17" s="7"/>
      <c r="D17" s="7"/>
      <c r="E17" s="146"/>
      <c r="F17" s="138"/>
      <c r="G17" s="144"/>
      <c r="H17" s="4"/>
      <c r="I17" s="145"/>
      <c r="J17" s="58"/>
      <c r="K17" s="58"/>
      <c r="L17" s="143"/>
    </row>
    <row r="18" ht="15.95" customHeight="1" spans="1:14">
      <c r="A18" s="7">
        <f t="shared" si="0"/>
        <v>10</v>
      </c>
      <c r="B18" s="7"/>
      <c r="C18" s="7"/>
      <c r="D18" s="7"/>
      <c r="E18" s="146"/>
      <c r="F18" s="138"/>
      <c r="G18" s="144"/>
      <c r="H18" s="4"/>
      <c r="I18" s="145"/>
      <c r="J18" s="58"/>
      <c r="K18" s="58"/>
      <c r="L18" s="143"/>
    </row>
    <row r="19" ht="15.95" customHeight="1" spans="1:14">
      <c r="A19" s="7">
        <f t="shared" si="0"/>
        <v>11</v>
      </c>
      <c r="B19" s="7"/>
      <c r="C19" s="7"/>
      <c r="D19" s="7"/>
      <c r="E19" s="146"/>
      <c r="F19" s="138"/>
      <c r="G19" s="144"/>
      <c r="H19" s="4"/>
      <c r="I19" s="145"/>
      <c r="J19" s="58"/>
      <c r="K19" s="58"/>
      <c r="L19" s="143"/>
    </row>
    <row r="20" ht="15.95" customHeight="1" spans="1:14">
      <c r="A20" s="7">
        <f t="shared" si="0"/>
        <v>12</v>
      </c>
      <c r="B20" s="7"/>
      <c r="C20" s="7"/>
      <c r="D20" s="7"/>
      <c r="E20" s="146"/>
      <c r="F20" s="138"/>
      <c r="G20" s="144"/>
      <c r="H20" s="4"/>
      <c r="I20" s="145"/>
      <c r="J20" s="58"/>
      <c r="K20" s="58"/>
      <c r="L20" s="143"/>
    </row>
    <row r="21" ht="15.95" customHeight="1" spans="1:14">
      <c r="A21" s="7">
        <f t="shared" si="0"/>
        <v>13</v>
      </c>
      <c r="B21" s="7"/>
      <c r="C21" s="7"/>
      <c r="D21" s="7"/>
      <c r="E21" s="146"/>
      <c r="F21" s="138"/>
      <c r="G21" s="144"/>
      <c r="H21" s="4"/>
      <c r="I21" s="145"/>
      <c r="J21" s="58"/>
      <c r="K21" s="58"/>
      <c r="L21" s="143"/>
    </row>
    <row r="22" ht="15.95" customHeight="1" spans="1:14">
      <c r="A22" s="7">
        <f t="shared" si="0"/>
        <v>14</v>
      </c>
      <c r="B22" s="7"/>
      <c r="C22" s="7"/>
      <c r="D22" s="7"/>
      <c r="E22" s="146"/>
      <c r="F22" s="138"/>
      <c r="G22" s="144"/>
      <c r="H22" s="4"/>
      <c r="I22" s="145"/>
      <c r="J22" s="58"/>
      <c r="K22" s="58"/>
      <c r="L22" s="143"/>
    </row>
    <row r="23" ht="15.95" customHeight="1" spans="1:14">
      <c r="A23" s="7">
        <f t="shared" si="0"/>
        <v>15</v>
      </c>
      <c r="B23" s="7"/>
      <c r="C23" s="7"/>
      <c r="D23" s="7"/>
      <c r="E23" s="146"/>
      <c r="F23" s="138"/>
      <c r="G23" s="144"/>
      <c r="H23" s="4"/>
      <c r="I23" s="145"/>
      <c r="J23" s="58"/>
      <c r="K23" s="58"/>
      <c r="L23" s="143"/>
    </row>
    <row r="24" ht="15.95" customHeight="1" spans="1:14">
      <c r="A24" s="7">
        <f t="shared" si="0"/>
        <v>16</v>
      </c>
      <c r="B24" s="7"/>
      <c r="C24" s="7"/>
      <c r="D24" s="7"/>
      <c r="E24" s="146"/>
      <c r="F24" s="138"/>
      <c r="G24" s="144"/>
      <c r="H24" s="4"/>
      <c r="I24" s="145"/>
      <c r="J24" s="58"/>
      <c r="K24" s="58"/>
      <c r="L24" s="143"/>
    </row>
    <row r="25" ht="15.95" customHeight="1" spans="1:14">
      <c r="A25" s="7">
        <f t="shared" si="0"/>
        <v>17</v>
      </c>
      <c r="B25" s="7"/>
      <c r="C25" s="7"/>
      <c r="D25" s="7"/>
      <c r="E25" s="146"/>
      <c r="F25" s="138"/>
      <c r="G25" s="144"/>
      <c r="H25" s="4"/>
      <c r="I25" s="145"/>
      <c r="J25" s="58"/>
      <c r="K25" s="58"/>
      <c r="L25" s="143"/>
    </row>
    <row r="26" ht="15.95" customHeight="1" spans="1:14">
      <c r="A26" s="7">
        <f t="shared" si="0"/>
        <v>18</v>
      </c>
      <c r="B26" s="7"/>
      <c r="C26" s="7"/>
      <c r="D26" s="7"/>
      <c r="E26" s="146"/>
      <c r="F26" s="138"/>
      <c r="G26" s="144"/>
      <c r="H26" s="4"/>
      <c r="I26" s="145"/>
      <c r="J26" s="58"/>
      <c r="K26" s="58"/>
      <c r="L26" s="143"/>
    </row>
    <row r="27" ht="15.95" customHeight="1" spans="1:14">
      <c r="A27" s="7">
        <f t="shared" si="0"/>
        <v>19</v>
      </c>
      <c r="B27" s="7"/>
      <c r="C27" s="7"/>
      <c r="D27" s="7"/>
      <c r="E27" s="146"/>
      <c r="F27" s="138"/>
      <c r="G27" s="144"/>
      <c r="H27" s="4"/>
      <c r="I27" s="145"/>
      <c r="J27" s="58"/>
      <c r="K27" s="58"/>
      <c r="L27" s="143"/>
    </row>
    <row r="28" ht="15.95" customHeight="1" spans="1:14">
      <c r="A28" s="7">
        <f t="shared" si="0"/>
        <v>20</v>
      </c>
      <c r="B28" s="7"/>
      <c r="C28" s="7"/>
      <c r="D28" s="7"/>
      <c r="E28" s="146"/>
      <c r="F28" s="138"/>
      <c r="G28" s="144"/>
      <c r="H28" s="4"/>
      <c r="I28" s="145"/>
      <c r="J28" s="58"/>
      <c r="K28" s="58"/>
      <c r="L28" s="143"/>
    </row>
    <row r="29" ht="21" customHeight="1" spans="1:14">
      <c r="A29" s="7"/>
      <c r="B29" s="7"/>
      <c r="C29" s="7" t="s">
        <v>22</v>
      </c>
      <c r="D29" s="147"/>
      <c r="E29" s="7"/>
      <c r="F29" s="7"/>
      <c r="G29" s="131"/>
      <c r="H29" s="4">
        <f>SUM(H9:H28)</f>
        <v>0</v>
      </c>
      <c r="I29" s="145">
        <f>SUM(I9:I28)</f>
        <v>0</v>
      </c>
      <c r="J29" s="58"/>
      <c r="K29" s="58"/>
      <c r="L29" s="58"/>
      <c r="N29" s="136"/>
    </row>
    <row r="30" ht="30" customHeight="1" spans="1:14">
      <c r="A30" s="148"/>
      <c r="B30" s="149" t="s">
        <v>23</v>
      </c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N30" s="136"/>
    </row>
    <row r="31" ht="20.1" customHeight="1" spans="1:14">
      <c r="A31" s="150" t="s">
        <v>11</v>
      </c>
      <c r="B31" s="151" t="s">
        <v>24</v>
      </c>
      <c r="C31" s="152"/>
      <c r="D31" s="153" t="s">
        <v>25</v>
      </c>
      <c r="E31" s="153" t="s">
        <v>26</v>
      </c>
      <c r="F31" s="153"/>
      <c r="G31" s="153" t="s">
        <v>27</v>
      </c>
      <c r="H31" s="153"/>
      <c r="I31" s="153" t="s">
        <v>17</v>
      </c>
      <c r="J31" s="154" t="s">
        <v>28</v>
      </c>
      <c r="K31" s="155"/>
      <c r="L31" s="156"/>
      <c r="N31" s="136"/>
    </row>
    <row r="32" ht="15" customHeight="1" spans="1:14">
      <c r="A32" s="157">
        <v>1</v>
      </c>
      <c r="B32" s="157"/>
      <c r="C32" s="158"/>
      <c r="D32" s="6" t="s">
        <v>29</v>
      </c>
      <c r="E32" s="6" t="s">
        <v>30</v>
      </c>
      <c r="F32" s="6"/>
      <c r="G32" s="6" t="s">
        <v>31</v>
      </c>
      <c r="H32" s="6"/>
      <c r="I32" s="159"/>
      <c r="J32" s="160"/>
      <c r="K32" s="161"/>
      <c r="L32" s="162"/>
      <c r="N32" s="136"/>
    </row>
    <row r="33" ht="15" customHeight="1" spans="1:14">
      <c r="A33" s="157">
        <v>2</v>
      </c>
      <c r="B33" s="157"/>
      <c r="C33" s="158"/>
      <c r="D33" s="6" t="s">
        <v>32</v>
      </c>
      <c r="E33" s="6" t="s">
        <v>33</v>
      </c>
      <c r="F33" s="6"/>
      <c r="G33" s="6" t="s">
        <v>34</v>
      </c>
      <c r="H33" s="6"/>
      <c r="I33" s="159"/>
      <c r="J33" s="160"/>
      <c r="K33" s="161"/>
      <c r="L33" s="162"/>
      <c r="N33" s="136"/>
    </row>
    <row r="34" ht="15" customHeight="1" spans="1:14">
      <c r="A34" s="157">
        <v>3</v>
      </c>
      <c r="B34" s="157"/>
      <c r="C34" s="158"/>
      <c r="D34" s="6" t="s">
        <v>35</v>
      </c>
      <c r="E34" s="6" t="s">
        <v>36</v>
      </c>
      <c r="F34" s="6"/>
      <c r="G34" s="6"/>
      <c r="H34" s="6"/>
      <c r="I34" s="159"/>
      <c r="J34" s="160"/>
      <c r="K34" s="161"/>
      <c r="L34" s="162"/>
      <c r="N34" s="136"/>
    </row>
    <row r="35" ht="15" customHeight="1" spans="1:14">
      <c r="A35" s="157">
        <v>4</v>
      </c>
      <c r="B35" s="157"/>
      <c r="C35" s="158"/>
      <c r="D35" s="6"/>
      <c r="E35" s="6"/>
      <c r="F35" s="6"/>
      <c r="G35" s="6"/>
      <c r="H35" s="6"/>
      <c r="I35" s="159"/>
      <c r="J35" s="160"/>
      <c r="K35" s="161"/>
      <c r="L35" s="162"/>
      <c r="N35" s="136"/>
    </row>
    <row r="36" ht="15" customHeight="1" spans="1:14">
      <c r="A36" s="157">
        <v>5</v>
      </c>
      <c r="B36" s="163"/>
      <c r="C36" s="163"/>
      <c r="D36" s="6"/>
      <c r="E36" s="160"/>
      <c r="F36" s="161"/>
      <c r="G36" s="6"/>
      <c r="H36" s="6"/>
      <c r="I36" s="159"/>
      <c r="J36" s="160"/>
      <c r="K36" s="161"/>
      <c r="L36" s="162"/>
      <c r="N36" s="136"/>
    </row>
    <row r="37" ht="22.5" customHeight="1" spans="1:14">
      <c r="A37" s="164" t="s">
        <v>37</v>
      </c>
      <c r="B37" s="165"/>
      <c r="C37" s="166" t="s">
        <v>38</v>
      </c>
      <c r="D37" s="166"/>
      <c r="E37" s="166"/>
      <c r="F37" s="166"/>
      <c r="G37" s="166"/>
      <c r="H37" s="166"/>
      <c r="I37" s="166"/>
      <c r="J37" s="166"/>
      <c r="K37" s="166"/>
      <c r="L37" s="166"/>
    </row>
    <row r="38" ht="23.25" customHeight="1" spans="1:14">
      <c r="A38" s="167" t="s">
        <v>39</v>
      </c>
      <c r="B38" s="168"/>
      <c r="C38" s="169"/>
      <c r="D38" s="169"/>
      <c r="E38" s="169"/>
      <c r="F38" s="169"/>
      <c r="G38" s="169"/>
      <c r="H38" s="169"/>
      <c r="I38" s="169"/>
      <c r="J38" s="169"/>
      <c r="K38" s="169"/>
      <c r="L38" s="169"/>
    </row>
    <row r="39" ht="21.95" customHeight="1" spans="1:14">
      <c r="A39" s="170" t="s">
        <v>40</v>
      </c>
      <c r="B39" s="170"/>
      <c r="C39" s="171">
        <f ca="1">B41+7</f>
        <v>46232.6777546296</v>
      </c>
      <c r="D39" s="172"/>
      <c r="E39" s="172"/>
      <c r="F39" s="173"/>
      <c r="G39" s="173"/>
      <c r="H39" s="173"/>
      <c r="I39" s="173"/>
      <c r="J39" s="173"/>
      <c r="K39" s="173"/>
      <c r="L39" s="173"/>
    </row>
    <row r="40" ht="21.95" customHeight="1" spans="1:14">
      <c r="A40" s="174" t="s">
        <v>41</v>
      </c>
      <c r="B40" s="175" t="s">
        <v>42</v>
      </c>
      <c r="C40" s="175"/>
      <c r="D40" s="176"/>
      <c r="E40" s="177" t="s">
        <v>43</v>
      </c>
      <c r="F40" s="178" t="s">
        <v>44</v>
      </c>
      <c r="G40" s="178"/>
      <c r="H40" s="176"/>
      <c r="I40" s="176"/>
      <c r="J40" s="179"/>
      <c r="K40" s="179"/>
    </row>
    <row r="41" ht="21.95" customHeight="1" spans="1:14">
      <c r="A41" s="174" t="s">
        <v>45</v>
      </c>
      <c r="B41" s="180">
        <f ca="1">NOW()</f>
        <v>46225.6777546296</v>
      </c>
      <c r="C41" s="180"/>
      <c r="D41" s="181"/>
      <c r="E41" s="177" t="s">
        <v>45</v>
      </c>
      <c r="F41" s="180">
        <f ca="1">B41</f>
        <v>46225.6777546296</v>
      </c>
      <c r="G41" s="180"/>
      <c r="K41" s="179"/>
      <c r="L41" s="182"/>
    </row>
  </sheetData>
  <mergeCells count="58">
    <mergeCell ref="A3:C3"/>
    <mergeCell ref="E3:H3"/>
    <mergeCell ref="J3:L3"/>
    <mergeCell ref="A4:C4"/>
    <mergeCell ref="E4:H4"/>
    <mergeCell ref="J4:L4"/>
    <mergeCell ref="A5:L5"/>
    <mergeCell ref="A6:L6"/>
    <mergeCell ref="E9:F9"/>
    <mergeCell ref="E29:F29"/>
    <mergeCell ref="B30:L30"/>
    <mergeCell ref="B31:C31"/>
    <mergeCell ref="E31:F31"/>
    <mergeCell ref="G31:H31"/>
    <mergeCell ref="J31:L31"/>
    <mergeCell ref="B32:C32"/>
    <mergeCell ref="E32:F32"/>
    <mergeCell ref="G32:H32"/>
    <mergeCell ref="J32:L32"/>
    <mergeCell ref="B33:C33"/>
    <mergeCell ref="E33:F33"/>
    <mergeCell ref="G33:H33"/>
    <mergeCell ref="J33:L33"/>
    <mergeCell ref="B34:C34"/>
    <mergeCell ref="E34:F34"/>
    <mergeCell ref="G34:H34"/>
    <mergeCell ref="J34:L34"/>
    <mergeCell ref="B35:C35"/>
    <mergeCell ref="E35:F35"/>
    <mergeCell ref="G35:H35"/>
    <mergeCell ref="J35:L35"/>
    <mergeCell ref="B36:C36"/>
    <mergeCell ref="E36:F36"/>
    <mergeCell ref="G36:H36"/>
    <mergeCell ref="J36:L36"/>
    <mergeCell ref="A37:B37"/>
    <mergeCell ref="C37:L37"/>
    <mergeCell ref="A38:B38"/>
    <mergeCell ref="C38:L38"/>
    <mergeCell ref="A39:B39"/>
    <mergeCell ref="C39:E39"/>
    <mergeCell ref="B40:C40"/>
    <mergeCell ref="F40:G40"/>
    <mergeCell ref="B41:C41"/>
    <mergeCell ref="F41:G41"/>
    <mergeCell ref="A7:A8"/>
    <mergeCell ref="B7:B8"/>
    <mergeCell ref="C7:C8"/>
    <mergeCell ref="D7:D8"/>
    <mergeCell ref="G7:G8"/>
    <mergeCell ref="H7:H8"/>
    <mergeCell ref="I7:I8"/>
    <mergeCell ref="J7:J8"/>
    <mergeCell ref="K7:K8"/>
    <mergeCell ref="L7:L8"/>
    <mergeCell ref="A1:C2"/>
    <mergeCell ref="D1:L2"/>
    <mergeCell ref="E7:F8"/>
  </mergeCells>
  <pageMargins left="0.275" right="0.275" top="0.236111111111111" bottom="0.393055555555556" header="0.314583333333333" footer="0.393055555555556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2"/>
  <sheetViews>
    <sheetView workbookViewId="0">
      <pane xSplit="20" ySplit="7" topLeftCell="U196" activePane="bottomRight" state="frozen"/>
      <selection/>
      <selection pane="topRight"/>
      <selection pane="bottomLeft"/>
      <selection pane="bottomRight" activeCell="I196" sqref="I196:N215"/>
    </sheetView>
  </sheetViews>
  <sheetFormatPr defaultColWidth="9" defaultRowHeight="14.25"/>
  <cols>
    <col min="1" max="1" width="6.375" style="66" customWidth="1"/>
    <col min="2" max="2" width="11.75" style="66" customWidth="1"/>
    <col min="3" max="4" width="9" style="66"/>
    <col min="5" max="5" width="6.625" style="66" customWidth="1"/>
    <col min="6" max="6" width="9.75" style="66" customWidth="1"/>
    <col min="7" max="7" width="8.125" style="66" customWidth="1"/>
    <col min="8" max="8" width="9" style="66"/>
    <col min="9" max="13" width="8.125" style="67" customWidth="1"/>
    <col min="14" max="14" width="9" style="66"/>
    <col min="15" max="15" width="17.125" style="66" customWidth="1"/>
    <col min="16" max="16" width="14.125" style="66" customWidth="1"/>
    <col min="17" max="17" width="22.875" style="66" customWidth="1"/>
    <col min="18" max="18" width="6.625" style="66" customWidth="1"/>
    <col min="19" max="19" width="9.375" style="66"/>
    <col min="20" max="20" width="9" style="68"/>
    <col min="21" max="16384" width="9" style="66"/>
  </cols>
  <sheetData>
    <row r="1" ht="39.95" customHeight="1" spans="1:21">
      <c r="A1" s="69" t="s">
        <v>46</v>
      </c>
      <c r="B1" s="70"/>
      <c r="C1" s="70"/>
      <c r="D1" s="70"/>
      <c r="E1" s="70"/>
      <c r="F1" s="70"/>
      <c r="G1" s="70"/>
      <c r="H1" s="70"/>
      <c r="I1" s="71"/>
      <c r="J1" s="71"/>
      <c r="K1" s="71"/>
      <c r="L1" s="71"/>
      <c r="M1" s="71"/>
      <c r="N1" s="72"/>
      <c r="O1" s="72"/>
      <c r="P1" s="72"/>
      <c r="Q1" s="72"/>
      <c r="R1" s="72"/>
    </row>
    <row r="2" ht="16.5" customHeight="1" spans="1:21">
      <c r="A2" s="73" t="s">
        <v>47</v>
      </c>
      <c r="B2" s="74"/>
      <c r="C2" s="75"/>
      <c r="D2" s="75"/>
      <c r="E2" s="75"/>
      <c r="F2" s="76"/>
      <c r="G2" s="76"/>
      <c r="H2" s="76"/>
      <c r="I2" s="77"/>
      <c r="J2" s="77"/>
      <c r="K2" s="77"/>
      <c r="L2" s="77"/>
      <c r="M2" s="77"/>
      <c r="N2" s="78" t="s">
        <v>48</v>
      </c>
      <c r="O2" s="78"/>
      <c r="P2" s="78"/>
      <c r="Q2" s="78"/>
      <c r="R2" s="78"/>
    </row>
    <row r="3" ht="16.5" customHeight="1" spans="1:21">
      <c r="A3" s="73" t="s">
        <v>49</v>
      </c>
      <c r="B3" s="74"/>
      <c r="C3" s="75"/>
      <c r="D3" s="75"/>
      <c r="E3" s="75"/>
      <c r="F3" s="76"/>
      <c r="G3" s="76"/>
      <c r="H3" s="76"/>
      <c r="I3" s="79"/>
      <c r="J3" s="79"/>
      <c r="K3" s="79"/>
      <c r="L3" s="79"/>
      <c r="M3" s="79"/>
      <c r="N3" s="78" t="s">
        <v>50</v>
      </c>
      <c r="O3" s="78"/>
      <c r="P3" s="78"/>
      <c r="Q3" s="78"/>
      <c r="R3" s="78"/>
    </row>
    <row r="4" ht="16.5" customHeight="1" spans="1:21">
      <c r="A4" s="80" t="s">
        <v>51</v>
      </c>
      <c r="B4" s="76"/>
      <c r="C4" s="76"/>
      <c r="D4" s="76"/>
      <c r="E4" s="76"/>
      <c r="F4" s="76"/>
      <c r="G4" s="76"/>
      <c r="H4" s="76"/>
      <c r="I4" s="79"/>
      <c r="J4" s="79"/>
      <c r="K4" s="79"/>
      <c r="L4" s="79"/>
      <c r="M4" s="79"/>
      <c r="N4" s="81" t="s">
        <v>52</v>
      </c>
      <c r="O4" s="81"/>
      <c r="P4" s="81"/>
      <c r="Q4" s="81"/>
      <c r="R4" s="81"/>
    </row>
    <row r="5" ht="16.5" customHeight="1" spans="1:21">
      <c r="A5" s="80" t="s">
        <v>53</v>
      </c>
      <c r="B5" s="76"/>
      <c r="C5" s="76"/>
      <c r="D5" s="76"/>
      <c r="E5" s="76"/>
      <c r="F5" s="76"/>
      <c r="G5" s="76"/>
      <c r="H5" s="76"/>
      <c r="I5" s="79"/>
      <c r="J5" s="79"/>
      <c r="K5" s="79"/>
      <c r="L5" s="79"/>
      <c r="M5" s="79"/>
      <c r="N5" s="81" t="s">
        <v>54</v>
      </c>
      <c r="O5" s="81"/>
      <c r="P5" s="81"/>
      <c r="Q5" s="81"/>
      <c r="R5" s="81"/>
    </row>
    <row r="6" ht="20.1" customHeight="1" spans="1:21">
      <c r="A6" s="82" t="s">
        <v>55</v>
      </c>
      <c r="B6" s="82"/>
      <c r="C6" s="83" t="s">
        <v>56</v>
      </c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4"/>
    </row>
    <row r="7" ht="27.6" customHeight="1" spans="1:21">
      <c r="A7" s="85" t="s">
        <v>11</v>
      </c>
      <c r="B7" s="86" t="s">
        <v>57</v>
      </c>
      <c r="C7" s="87" t="s">
        <v>58</v>
      </c>
      <c r="D7" s="88"/>
      <c r="E7" s="86" t="s">
        <v>59</v>
      </c>
      <c r="F7" s="89" t="s">
        <v>60</v>
      </c>
      <c r="G7" s="86" t="s">
        <v>61</v>
      </c>
      <c r="H7" s="86" t="s">
        <v>62</v>
      </c>
      <c r="I7" s="90" t="s">
        <v>63</v>
      </c>
      <c r="J7" s="90" t="s">
        <v>64</v>
      </c>
      <c r="K7" s="90" t="s">
        <v>65</v>
      </c>
      <c r="L7" s="90" t="s">
        <v>66</v>
      </c>
      <c r="M7" s="90" t="s">
        <v>67</v>
      </c>
      <c r="N7" s="86" t="s">
        <v>68</v>
      </c>
      <c r="O7" s="86" t="s">
        <v>69</v>
      </c>
      <c r="P7" s="86" t="s">
        <v>70</v>
      </c>
      <c r="Q7" s="86" t="s">
        <v>71</v>
      </c>
      <c r="R7" s="86" t="s">
        <v>72</v>
      </c>
      <c r="S7" s="91" t="s">
        <v>73</v>
      </c>
      <c r="T7" s="92" t="s">
        <v>74</v>
      </c>
      <c r="U7" s="93" t="s">
        <v>75</v>
      </c>
    </row>
    <row r="8" ht="18.95" customHeight="1" spans="1:21">
      <c r="A8" s="94">
        <v>1</v>
      </c>
      <c r="B8" s="47" t="s">
        <v>76</v>
      </c>
      <c r="C8" s="95"/>
      <c r="D8" s="96"/>
      <c r="E8" s="65">
        <v>6</v>
      </c>
      <c r="F8" s="97" t="e">
        <f>#REF!</f>
        <v>#REF!</v>
      </c>
      <c r="G8" s="98">
        <v>56.52</v>
      </c>
      <c r="H8" s="99">
        <f>G8*E8</f>
        <v>339.12</v>
      </c>
      <c r="I8" s="100">
        <v>3.4</v>
      </c>
      <c r="J8" s="100">
        <v>3.7</v>
      </c>
      <c r="K8" s="100"/>
      <c r="L8" s="100"/>
      <c r="M8" s="100">
        <f>I8+J8+K8+L8</f>
        <v>7.1</v>
      </c>
      <c r="N8" s="101">
        <f>M8*H8</f>
        <v>2407.752</v>
      </c>
      <c r="O8" s="48" t="s">
        <v>77</v>
      </c>
      <c r="P8" s="48" t="s">
        <v>77</v>
      </c>
      <c r="Q8" s="48" t="s">
        <v>78</v>
      </c>
      <c r="R8" s="102" t="s">
        <v>79</v>
      </c>
      <c r="S8" s="103" t="e">
        <f>E8*F8</f>
        <v>#REF!</v>
      </c>
      <c r="T8" s="104" t="e">
        <f>F8-G8</f>
        <v>#REF!</v>
      </c>
    </row>
    <row r="9" ht="18.95" customHeight="1" spans="1:21">
      <c r="A9" s="94">
        <v>2</v>
      </c>
      <c r="B9" s="47" t="s">
        <v>76</v>
      </c>
      <c r="C9" s="95"/>
      <c r="D9" s="96"/>
      <c r="E9" s="65">
        <v>104</v>
      </c>
      <c r="F9" s="97" t="e">
        <f>#REF!</f>
        <v>#REF!</v>
      </c>
      <c r="G9" s="98">
        <v>0.17</v>
      </c>
      <c r="H9" s="99">
        <f t="shared" ref="H9:H72" si="0">G9*E9</f>
        <v>17.68</v>
      </c>
      <c r="I9" s="100">
        <v>3.4</v>
      </c>
      <c r="J9" s="100">
        <v>3.7</v>
      </c>
      <c r="K9" s="100"/>
      <c r="L9" s="100">
        <v>0.5</v>
      </c>
      <c r="M9" s="100">
        <f t="shared" ref="M9:M72" si="1">I9+J9+K9+L9</f>
        <v>7.6</v>
      </c>
      <c r="N9" s="101">
        <f t="shared" ref="N9:N72" si="2">M9*H9</f>
        <v>134.368</v>
      </c>
      <c r="O9" s="48" t="s">
        <v>80</v>
      </c>
      <c r="P9" s="48" t="s">
        <v>80</v>
      </c>
      <c r="Q9" s="48" t="s">
        <v>78</v>
      </c>
      <c r="R9" s="102" t="s">
        <v>79</v>
      </c>
      <c r="S9" s="103" t="e">
        <f>E9*F9</f>
        <v>#REF!</v>
      </c>
      <c r="T9" s="104" t="e">
        <f t="shared" ref="T9:T72" si="3">F9-G9</f>
        <v>#REF!</v>
      </c>
    </row>
    <row r="10" ht="18.95" customHeight="1" spans="1:21">
      <c r="A10" s="94">
        <v>3</v>
      </c>
      <c r="B10" s="47" t="s">
        <v>76</v>
      </c>
      <c r="C10" s="95"/>
      <c r="D10" s="96"/>
      <c r="E10" s="65">
        <v>85</v>
      </c>
      <c r="F10" s="97" t="e">
        <f>#REF!</f>
        <v>#REF!</v>
      </c>
      <c r="G10" s="98">
        <v>0.098</v>
      </c>
      <c r="H10" s="99">
        <f t="shared" si="0"/>
        <v>8.33</v>
      </c>
      <c r="I10" s="100">
        <v>3.4</v>
      </c>
      <c r="J10" s="100">
        <v>3.7</v>
      </c>
      <c r="K10" s="100"/>
      <c r="L10" s="100">
        <v>0.5</v>
      </c>
      <c r="M10" s="100">
        <f t="shared" si="1"/>
        <v>7.6</v>
      </c>
      <c r="N10" s="101">
        <f t="shared" si="2"/>
        <v>63.308</v>
      </c>
      <c r="O10" s="48" t="s">
        <v>81</v>
      </c>
      <c r="P10" s="48" t="s">
        <v>81</v>
      </c>
      <c r="Q10" s="48" t="s">
        <v>78</v>
      </c>
      <c r="R10" s="102" t="s">
        <v>79</v>
      </c>
      <c r="S10" s="103" t="e">
        <f>E10*F10</f>
        <v>#REF!</v>
      </c>
      <c r="T10" s="104" t="e">
        <f t="shared" si="3"/>
        <v>#REF!</v>
      </c>
    </row>
    <row r="11" ht="18.95" customHeight="1" spans="1:21">
      <c r="A11" s="94">
        <v>4</v>
      </c>
      <c r="B11" s="47" t="s">
        <v>76</v>
      </c>
      <c r="C11" s="95"/>
      <c r="D11" s="96"/>
      <c r="E11" s="65">
        <v>12</v>
      </c>
      <c r="F11" s="97" t="e">
        <f>#REF!</f>
        <v>#REF!</v>
      </c>
      <c r="G11" s="98">
        <v>0.883</v>
      </c>
      <c r="H11" s="99">
        <f t="shared" si="0"/>
        <v>10.596</v>
      </c>
      <c r="I11" s="100">
        <v>3.4</v>
      </c>
      <c r="J11" s="100">
        <v>3.1</v>
      </c>
      <c r="K11" s="100"/>
      <c r="L11" s="100">
        <v>0.5</v>
      </c>
      <c r="M11" s="100">
        <f t="shared" si="1"/>
        <v>7</v>
      </c>
      <c r="N11" s="101">
        <f t="shared" si="2"/>
        <v>74.172</v>
      </c>
      <c r="O11" s="48" t="s">
        <v>82</v>
      </c>
      <c r="P11" s="48" t="s">
        <v>82</v>
      </c>
      <c r="Q11" s="48" t="s">
        <v>78</v>
      </c>
      <c r="R11" s="102" t="s">
        <v>79</v>
      </c>
      <c r="S11" s="103" t="e">
        <f t="shared" ref="S11:S72" si="4">E11*F11</f>
        <v>#REF!</v>
      </c>
      <c r="T11" s="104" t="e">
        <f t="shared" si="3"/>
        <v>#REF!</v>
      </c>
    </row>
    <row r="12" ht="18.95" customHeight="1" spans="1:21">
      <c r="A12" s="94">
        <v>5</v>
      </c>
      <c r="B12" s="47" t="s">
        <v>76</v>
      </c>
      <c r="C12" s="95"/>
      <c r="D12" s="96"/>
      <c r="E12" s="65">
        <v>12</v>
      </c>
      <c r="F12" s="97" t="e">
        <f>#REF!</f>
        <v>#REF!</v>
      </c>
      <c r="G12" s="98">
        <v>0.883</v>
      </c>
      <c r="H12" s="99">
        <f t="shared" si="0"/>
        <v>10.596</v>
      </c>
      <c r="I12" s="100">
        <v>3.4</v>
      </c>
      <c r="J12" s="100">
        <v>3.1</v>
      </c>
      <c r="K12" s="100"/>
      <c r="L12" s="100">
        <v>0.5</v>
      </c>
      <c r="M12" s="100">
        <f t="shared" si="1"/>
        <v>7</v>
      </c>
      <c r="N12" s="101">
        <f t="shared" si="2"/>
        <v>74.172</v>
      </c>
      <c r="O12" s="48" t="s">
        <v>83</v>
      </c>
      <c r="P12" s="48" t="s">
        <v>83</v>
      </c>
      <c r="Q12" s="48" t="s">
        <v>78</v>
      </c>
      <c r="R12" s="102" t="s">
        <v>79</v>
      </c>
      <c r="S12" s="103" t="e">
        <f t="shared" si="4"/>
        <v>#REF!</v>
      </c>
      <c r="T12" s="104" t="e">
        <f t="shared" si="3"/>
        <v>#REF!</v>
      </c>
    </row>
    <row r="13" ht="18.95" customHeight="1" spans="1:21">
      <c r="A13" s="94">
        <v>6</v>
      </c>
      <c r="B13" s="47" t="s">
        <v>76</v>
      </c>
      <c r="C13" s="95"/>
      <c r="D13" s="96"/>
      <c r="E13" s="65">
        <v>12</v>
      </c>
      <c r="F13" s="97" t="e">
        <f>#REF!</f>
        <v>#REF!</v>
      </c>
      <c r="G13" s="98">
        <v>1.619</v>
      </c>
      <c r="H13" s="99">
        <f t="shared" si="0"/>
        <v>19.428</v>
      </c>
      <c r="I13" s="100">
        <v>3.4</v>
      </c>
      <c r="J13" s="100">
        <v>3.1</v>
      </c>
      <c r="K13" s="100"/>
      <c r="L13" s="100">
        <v>0.5</v>
      </c>
      <c r="M13" s="100">
        <f t="shared" si="1"/>
        <v>7</v>
      </c>
      <c r="N13" s="101">
        <f t="shared" si="2"/>
        <v>135.996</v>
      </c>
      <c r="O13" s="48" t="s">
        <v>84</v>
      </c>
      <c r="P13" s="48" t="s">
        <v>84</v>
      </c>
      <c r="Q13" s="48" t="s">
        <v>78</v>
      </c>
      <c r="R13" s="102" t="s">
        <v>79</v>
      </c>
      <c r="S13" s="103" t="e">
        <f t="shared" si="4"/>
        <v>#REF!</v>
      </c>
      <c r="T13" s="104" t="e">
        <f t="shared" si="3"/>
        <v>#REF!</v>
      </c>
    </row>
    <row r="14" ht="18.95" customHeight="1" spans="1:21">
      <c r="A14" s="94">
        <v>7</v>
      </c>
      <c r="B14" s="47" t="s">
        <v>76</v>
      </c>
      <c r="C14" s="95"/>
      <c r="D14" s="96"/>
      <c r="E14" s="65">
        <v>12</v>
      </c>
      <c r="F14" s="97" t="e">
        <f>#REF!</f>
        <v>#REF!</v>
      </c>
      <c r="G14" s="98">
        <v>0.81</v>
      </c>
      <c r="H14" s="99">
        <f t="shared" si="0"/>
        <v>9.72</v>
      </c>
      <c r="I14" s="100">
        <v>3.4</v>
      </c>
      <c r="J14" s="100">
        <v>3.1</v>
      </c>
      <c r="K14" s="100"/>
      <c r="L14" s="100">
        <v>0.5</v>
      </c>
      <c r="M14" s="100">
        <f t="shared" si="1"/>
        <v>7</v>
      </c>
      <c r="N14" s="101">
        <f t="shared" si="2"/>
        <v>68.04</v>
      </c>
      <c r="O14" s="48" t="s">
        <v>85</v>
      </c>
      <c r="P14" s="48" t="s">
        <v>85</v>
      </c>
      <c r="Q14" s="48" t="s">
        <v>78</v>
      </c>
      <c r="R14" s="102" t="s">
        <v>79</v>
      </c>
      <c r="S14" s="103" t="e">
        <f t="shared" si="4"/>
        <v>#REF!</v>
      </c>
      <c r="T14" s="104" t="e">
        <f t="shared" si="3"/>
        <v>#REF!</v>
      </c>
    </row>
    <row r="15" ht="18.95" customHeight="1" spans="1:21">
      <c r="A15" s="94">
        <v>8</v>
      </c>
      <c r="B15" s="47" t="s">
        <v>76</v>
      </c>
      <c r="C15" s="95"/>
      <c r="D15" s="96"/>
      <c r="E15" s="65">
        <v>8</v>
      </c>
      <c r="F15" s="97" t="e">
        <f>#REF!</f>
        <v>#REF!</v>
      </c>
      <c r="G15" s="98">
        <v>0.565</v>
      </c>
      <c r="H15" s="99">
        <f t="shared" si="0"/>
        <v>4.52</v>
      </c>
      <c r="I15" s="100">
        <v>3.4</v>
      </c>
      <c r="J15" s="100">
        <v>3.1</v>
      </c>
      <c r="K15" s="100"/>
      <c r="L15" s="100">
        <v>0.5</v>
      </c>
      <c r="M15" s="100">
        <f t="shared" si="1"/>
        <v>7</v>
      </c>
      <c r="N15" s="101">
        <f t="shared" si="2"/>
        <v>31.64</v>
      </c>
      <c r="O15" s="48" t="s">
        <v>86</v>
      </c>
      <c r="P15" s="48" t="s">
        <v>86</v>
      </c>
      <c r="Q15" s="48" t="s">
        <v>78</v>
      </c>
      <c r="R15" s="102" t="s">
        <v>79</v>
      </c>
      <c r="S15" s="103" t="e">
        <f t="shared" si="4"/>
        <v>#REF!</v>
      </c>
      <c r="T15" s="104" t="e">
        <f t="shared" si="3"/>
        <v>#REF!</v>
      </c>
    </row>
    <row r="16" ht="18.95" customHeight="1" spans="1:21">
      <c r="A16" s="94">
        <v>9</v>
      </c>
      <c r="B16" s="47" t="s">
        <v>76</v>
      </c>
      <c r="C16" s="95"/>
      <c r="D16" s="96"/>
      <c r="E16" s="65">
        <v>194</v>
      </c>
      <c r="F16" s="97" t="e">
        <f>#REF!</f>
        <v>#REF!</v>
      </c>
      <c r="G16" s="98">
        <v>2.512</v>
      </c>
      <c r="H16" s="99">
        <f t="shared" si="0"/>
        <v>487.328</v>
      </c>
      <c r="I16" s="100">
        <v>3.4</v>
      </c>
      <c r="J16" s="100">
        <v>3.1</v>
      </c>
      <c r="K16" s="100"/>
      <c r="L16" s="100">
        <v>0.5</v>
      </c>
      <c r="M16" s="100">
        <f t="shared" si="1"/>
        <v>7</v>
      </c>
      <c r="N16" s="101">
        <f t="shared" si="2"/>
        <v>3411.296</v>
      </c>
      <c r="O16" s="48" t="s">
        <v>87</v>
      </c>
      <c r="P16" s="48" t="s">
        <v>87</v>
      </c>
      <c r="Q16" s="48" t="s">
        <v>78</v>
      </c>
      <c r="R16" s="102" t="s">
        <v>79</v>
      </c>
      <c r="S16" s="103" t="e">
        <f t="shared" si="4"/>
        <v>#REF!</v>
      </c>
      <c r="T16" s="104" t="e">
        <f t="shared" si="3"/>
        <v>#REF!</v>
      </c>
    </row>
    <row r="17" ht="18.95" customHeight="1" spans="1:20">
      <c r="A17" s="94">
        <v>10</v>
      </c>
      <c r="B17" s="47" t="s">
        <v>76</v>
      </c>
      <c r="C17" s="95"/>
      <c r="D17" s="96"/>
      <c r="E17" s="65">
        <v>12</v>
      </c>
      <c r="F17" s="97" t="e">
        <f>#REF!</f>
        <v>#REF!</v>
      </c>
      <c r="G17" s="98">
        <v>2.386</v>
      </c>
      <c r="H17" s="99">
        <f t="shared" si="0"/>
        <v>28.632</v>
      </c>
      <c r="I17" s="100">
        <v>3.4</v>
      </c>
      <c r="J17" s="100">
        <v>3.1</v>
      </c>
      <c r="K17" s="100"/>
      <c r="L17" s="100">
        <v>0.5</v>
      </c>
      <c r="M17" s="100">
        <f t="shared" si="1"/>
        <v>7</v>
      </c>
      <c r="N17" s="101">
        <f t="shared" si="2"/>
        <v>200.424</v>
      </c>
      <c r="O17" s="48" t="s">
        <v>88</v>
      </c>
      <c r="P17" s="48" t="s">
        <v>88</v>
      </c>
      <c r="Q17" s="48" t="s">
        <v>78</v>
      </c>
      <c r="R17" s="102" t="s">
        <v>79</v>
      </c>
      <c r="S17" s="103" t="e">
        <f t="shared" si="4"/>
        <v>#REF!</v>
      </c>
      <c r="T17" s="104" t="e">
        <f t="shared" si="3"/>
        <v>#REF!</v>
      </c>
    </row>
    <row r="18" ht="18.95" customHeight="1" spans="1:20">
      <c r="A18" s="94">
        <v>11</v>
      </c>
      <c r="B18" s="47" t="s">
        <v>76</v>
      </c>
      <c r="C18" s="95"/>
      <c r="D18" s="96"/>
      <c r="E18" s="65">
        <v>12</v>
      </c>
      <c r="F18" s="97" t="e">
        <f>#REF!</f>
        <v>#REF!</v>
      </c>
      <c r="G18" s="98">
        <v>2.575</v>
      </c>
      <c r="H18" s="99">
        <f t="shared" si="0"/>
        <v>30.9</v>
      </c>
      <c r="I18" s="100">
        <v>3.4</v>
      </c>
      <c r="J18" s="100">
        <v>3.1</v>
      </c>
      <c r="K18" s="100"/>
      <c r="L18" s="100">
        <v>0.5</v>
      </c>
      <c r="M18" s="100">
        <f t="shared" si="1"/>
        <v>7</v>
      </c>
      <c r="N18" s="101">
        <f t="shared" si="2"/>
        <v>216.3</v>
      </c>
      <c r="O18" s="48" t="s">
        <v>89</v>
      </c>
      <c r="P18" s="48" t="s">
        <v>89</v>
      </c>
      <c r="Q18" s="48" t="s">
        <v>78</v>
      </c>
      <c r="R18" s="102" t="s">
        <v>79</v>
      </c>
      <c r="S18" s="103" t="e">
        <f t="shared" si="4"/>
        <v>#REF!</v>
      </c>
      <c r="T18" s="104" t="e">
        <f t="shared" si="3"/>
        <v>#REF!</v>
      </c>
    </row>
    <row r="19" ht="18.95" customHeight="1" spans="1:20">
      <c r="A19" s="94">
        <v>12</v>
      </c>
      <c r="B19" s="47" t="s">
        <v>76</v>
      </c>
      <c r="C19" s="95"/>
      <c r="D19" s="96"/>
      <c r="E19" s="65">
        <v>440</v>
      </c>
      <c r="F19" s="97" t="e">
        <f>#REF!</f>
        <v>#REF!</v>
      </c>
      <c r="G19" s="98">
        <v>0.118</v>
      </c>
      <c r="H19" s="99">
        <f t="shared" si="0"/>
        <v>51.92</v>
      </c>
      <c r="I19" s="100">
        <v>3.4</v>
      </c>
      <c r="J19" s="100">
        <v>3.1</v>
      </c>
      <c r="K19" s="100"/>
      <c r="L19" s="100">
        <v>0.5</v>
      </c>
      <c r="M19" s="100">
        <f t="shared" si="1"/>
        <v>7</v>
      </c>
      <c r="N19" s="101">
        <f t="shared" si="2"/>
        <v>363.44</v>
      </c>
      <c r="O19" s="48" t="s">
        <v>90</v>
      </c>
      <c r="P19" s="48" t="s">
        <v>90</v>
      </c>
      <c r="Q19" s="48" t="s">
        <v>78</v>
      </c>
      <c r="R19" s="102" t="s">
        <v>79</v>
      </c>
      <c r="S19" s="103" t="e">
        <f t="shared" si="4"/>
        <v>#REF!</v>
      </c>
      <c r="T19" s="104" t="e">
        <f t="shared" si="3"/>
        <v>#REF!</v>
      </c>
    </row>
    <row r="20" ht="18.95" customHeight="1" spans="1:20">
      <c r="A20" s="94">
        <v>13</v>
      </c>
      <c r="B20" s="47" t="s">
        <v>76</v>
      </c>
      <c r="C20" s="95"/>
      <c r="D20" s="96"/>
      <c r="E20" s="65">
        <v>12</v>
      </c>
      <c r="F20" s="97" t="e">
        <f>#REF!</f>
        <v>#REF!</v>
      </c>
      <c r="G20" s="98">
        <v>0.129</v>
      </c>
      <c r="H20" s="99">
        <f t="shared" si="0"/>
        <v>1.548</v>
      </c>
      <c r="I20" s="100">
        <v>3.4</v>
      </c>
      <c r="J20" s="100">
        <v>3.1</v>
      </c>
      <c r="K20" s="100"/>
      <c r="L20" s="100">
        <v>0.5</v>
      </c>
      <c r="M20" s="100">
        <f t="shared" si="1"/>
        <v>7</v>
      </c>
      <c r="N20" s="101">
        <f t="shared" si="2"/>
        <v>10.836</v>
      </c>
      <c r="O20" s="48" t="s">
        <v>91</v>
      </c>
      <c r="P20" s="48" t="s">
        <v>91</v>
      </c>
      <c r="Q20" s="48" t="s">
        <v>78</v>
      </c>
      <c r="R20" s="102" t="s">
        <v>79</v>
      </c>
      <c r="S20" s="103" t="e">
        <f t="shared" si="4"/>
        <v>#REF!</v>
      </c>
      <c r="T20" s="104" t="e">
        <f t="shared" si="3"/>
        <v>#REF!</v>
      </c>
    </row>
    <row r="21" ht="18.95" customHeight="1" spans="1:20">
      <c r="A21" s="94">
        <v>14</v>
      </c>
      <c r="B21" s="47" t="s">
        <v>76</v>
      </c>
      <c r="C21" s="95"/>
      <c r="D21" s="96"/>
      <c r="E21" s="65">
        <v>12</v>
      </c>
      <c r="F21" s="97" t="e">
        <f>#REF!</f>
        <v>#REF!</v>
      </c>
      <c r="G21" s="98">
        <v>0.13</v>
      </c>
      <c r="H21" s="99">
        <f t="shared" si="0"/>
        <v>1.56</v>
      </c>
      <c r="I21" s="100">
        <v>3.4</v>
      </c>
      <c r="J21" s="100">
        <v>3.1</v>
      </c>
      <c r="K21" s="100"/>
      <c r="L21" s="100">
        <v>0.5</v>
      </c>
      <c r="M21" s="100">
        <f t="shared" si="1"/>
        <v>7</v>
      </c>
      <c r="N21" s="101">
        <f t="shared" si="2"/>
        <v>10.92</v>
      </c>
      <c r="O21" s="48" t="s">
        <v>92</v>
      </c>
      <c r="P21" s="48" t="s">
        <v>92</v>
      </c>
      <c r="Q21" s="48" t="s">
        <v>78</v>
      </c>
      <c r="R21" s="102" t="s">
        <v>79</v>
      </c>
      <c r="S21" s="103" t="e">
        <f t="shared" si="4"/>
        <v>#REF!</v>
      </c>
      <c r="T21" s="104" t="e">
        <f t="shared" si="3"/>
        <v>#REF!</v>
      </c>
    </row>
    <row r="22" ht="18.95" customHeight="1" spans="1:20">
      <c r="A22" s="94">
        <v>15</v>
      </c>
      <c r="B22" s="47" t="s">
        <v>76</v>
      </c>
      <c r="C22" s="95"/>
      <c r="D22" s="96"/>
      <c r="E22" s="65">
        <v>1</v>
      </c>
      <c r="F22" s="97" t="e">
        <f>#REF!</f>
        <v>#REF!</v>
      </c>
      <c r="G22" s="98">
        <v>0.758</v>
      </c>
      <c r="H22" s="99">
        <f t="shared" si="0"/>
        <v>0.758</v>
      </c>
      <c r="I22" s="100">
        <v>3.4</v>
      </c>
      <c r="J22" s="100">
        <v>3.1</v>
      </c>
      <c r="K22" s="100"/>
      <c r="L22" s="100">
        <v>0.5</v>
      </c>
      <c r="M22" s="100">
        <f t="shared" si="1"/>
        <v>7</v>
      </c>
      <c r="N22" s="101">
        <f t="shared" si="2"/>
        <v>5.306</v>
      </c>
      <c r="O22" s="48" t="s">
        <v>93</v>
      </c>
      <c r="P22" s="48" t="s">
        <v>93</v>
      </c>
      <c r="Q22" s="48" t="s">
        <v>78</v>
      </c>
      <c r="R22" s="102" t="s">
        <v>79</v>
      </c>
      <c r="S22" s="103" t="e">
        <f t="shared" si="4"/>
        <v>#REF!</v>
      </c>
      <c r="T22" s="104" t="e">
        <f t="shared" si="3"/>
        <v>#REF!</v>
      </c>
    </row>
    <row r="23" ht="18.95" customHeight="1" spans="1:20">
      <c r="A23" s="94">
        <v>16</v>
      </c>
      <c r="B23" s="47" t="s">
        <v>76</v>
      </c>
      <c r="C23" s="95"/>
      <c r="D23" s="96"/>
      <c r="E23" s="65">
        <v>1</v>
      </c>
      <c r="F23" s="97" t="e">
        <f>#REF!</f>
        <v>#REF!</v>
      </c>
      <c r="G23" s="98">
        <v>0.812</v>
      </c>
      <c r="H23" s="99">
        <f t="shared" si="0"/>
        <v>0.812</v>
      </c>
      <c r="I23" s="100">
        <v>3.4</v>
      </c>
      <c r="J23" s="100">
        <v>3.7</v>
      </c>
      <c r="K23" s="100"/>
      <c r="L23" s="100">
        <v>0.5</v>
      </c>
      <c r="M23" s="100">
        <f t="shared" si="1"/>
        <v>7.6</v>
      </c>
      <c r="N23" s="101">
        <f t="shared" si="2"/>
        <v>6.1712</v>
      </c>
      <c r="O23" s="48" t="s">
        <v>94</v>
      </c>
      <c r="P23" s="48" t="s">
        <v>94</v>
      </c>
      <c r="Q23" s="48" t="s">
        <v>78</v>
      </c>
      <c r="R23" s="102" t="s">
        <v>79</v>
      </c>
      <c r="S23" s="103" t="e">
        <f t="shared" si="4"/>
        <v>#REF!</v>
      </c>
      <c r="T23" s="104" t="e">
        <f t="shared" si="3"/>
        <v>#REF!</v>
      </c>
    </row>
    <row r="24" ht="18.95" customHeight="1" spans="1:20">
      <c r="A24" s="94">
        <v>17</v>
      </c>
      <c r="B24" s="47" t="s">
        <v>76</v>
      </c>
      <c r="C24" s="95"/>
      <c r="D24" s="96"/>
      <c r="E24" s="65">
        <v>1</v>
      </c>
      <c r="F24" s="97" t="e">
        <f>#REF!</f>
        <v>#REF!</v>
      </c>
      <c r="G24" s="98">
        <v>1.571</v>
      </c>
      <c r="H24" s="99">
        <f t="shared" si="0"/>
        <v>1.571</v>
      </c>
      <c r="I24" s="100">
        <v>3.4</v>
      </c>
      <c r="J24" s="100">
        <v>3.7</v>
      </c>
      <c r="K24" s="100"/>
      <c r="L24" s="100">
        <v>0.5</v>
      </c>
      <c r="M24" s="100">
        <f t="shared" si="1"/>
        <v>7.6</v>
      </c>
      <c r="N24" s="101">
        <f t="shared" si="2"/>
        <v>11.9396</v>
      </c>
      <c r="O24" s="48" t="s">
        <v>95</v>
      </c>
      <c r="P24" s="48" t="s">
        <v>95</v>
      </c>
      <c r="Q24" s="48" t="s">
        <v>78</v>
      </c>
      <c r="R24" s="102" t="s">
        <v>79</v>
      </c>
      <c r="S24" s="103" t="e">
        <f t="shared" si="4"/>
        <v>#REF!</v>
      </c>
      <c r="T24" s="104" t="e">
        <f t="shared" si="3"/>
        <v>#REF!</v>
      </c>
    </row>
    <row r="25" ht="18.95" customHeight="1" spans="1:20">
      <c r="A25" s="94">
        <v>18</v>
      </c>
      <c r="B25" s="47" t="s">
        <v>76</v>
      </c>
      <c r="C25" s="95"/>
      <c r="D25" s="96"/>
      <c r="E25" s="65">
        <v>3</v>
      </c>
      <c r="F25" s="97" t="e">
        <f>#REF!</f>
        <v>#REF!</v>
      </c>
      <c r="G25" s="98">
        <v>1.088</v>
      </c>
      <c r="H25" s="99">
        <f t="shared" si="0"/>
        <v>3.264</v>
      </c>
      <c r="I25" s="100">
        <v>3.4</v>
      </c>
      <c r="J25" s="100">
        <v>3.7</v>
      </c>
      <c r="K25" s="100"/>
      <c r="L25" s="100">
        <v>0.5</v>
      </c>
      <c r="M25" s="100">
        <f t="shared" si="1"/>
        <v>7.6</v>
      </c>
      <c r="N25" s="101">
        <f t="shared" si="2"/>
        <v>24.8064</v>
      </c>
      <c r="O25" s="48" t="s">
        <v>96</v>
      </c>
      <c r="P25" s="48" t="s">
        <v>96</v>
      </c>
      <c r="Q25" s="48" t="s">
        <v>78</v>
      </c>
      <c r="R25" s="102" t="s">
        <v>79</v>
      </c>
      <c r="S25" s="103" t="e">
        <f t="shared" si="4"/>
        <v>#REF!</v>
      </c>
      <c r="T25" s="104" t="e">
        <f t="shared" si="3"/>
        <v>#REF!</v>
      </c>
    </row>
    <row r="26" ht="18.95" customHeight="1" spans="1:20">
      <c r="A26" s="94">
        <v>19</v>
      </c>
      <c r="B26" s="47" t="s">
        <v>76</v>
      </c>
      <c r="C26" s="95"/>
      <c r="D26" s="96"/>
      <c r="E26" s="65">
        <v>3</v>
      </c>
      <c r="F26" s="97" t="e">
        <f>#REF!</f>
        <v>#REF!</v>
      </c>
      <c r="G26" s="98">
        <v>1.319</v>
      </c>
      <c r="H26" s="99">
        <f t="shared" si="0"/>
        <v>3.957</v>
      </c>
      <c r="I26" s="100">
        <v>3.4</v>
      </c>
      <c r="J26" s="100">
        <v>3.7</v>
      </c>
      <c r="K26" s="100"/>
      <c r="L26" s="100">
        <v>0.5</v>
      </c>
      <c r="M26" s="100">
        <f t="shared" si="1"/>
        <v>7.6</v>
      </c>
      <c r="N26" s="101">
        <f t="shared" si="2"/>
        <v>30.0732</v>
      </c>
      <c r="O26" s="48" t="s">
        <v>97</v>
      </c>
      <c r="P26" s="48" t="s">
        <v>97</v>
      </c>
      <c r="Q26" s="48" t="s">
        <v>78</v>
      </c>
      <c r="R26" s="102" t="s">
        <v>79</v>
      </c>
      <c r="S26" s="103" t="e">
        <f t="shared" si="4"/>
        <v>#REF!</v>
      </c>
      <c r="T26" s="104" t="e">
        <f t="shared" si="3"/>
        <v>#REF!</v>
      </c>
    </row>
    <row r="27" ht="18.95" customHeight="1" spans="1:20">
      <c r="A27" s="94">
        <v>20</v>
      </c>
      <c r="B27" s="47" t="s">
        <v>76</v>
      </c>
      <c r="C27" s="95"/>
      <c r="D27" s="96"/>
      <c r="E27" s="65">
        <v>2</v>
      </c>
      <c r="F27" s="97" t="e">
        <f>#REF!</f>
        <v>#REF!</v>
      </c>
      <c r="G27" s="98">
        <v>2.334</v>
      </c>
      <c r="H27" s="99">
        <f t="shared" si="0"/>
        <v>4.668</v>
      </c>
      <c r="I27" s="100">
        <v>3.4</v>
      </c>
      <c r="J27" s="100">
        <v>4.6</v>
      </c>
      <c r="K27" s="100"/>
      <c r="L27" s="100">
        <v>0.5</v>
      </c>
      <c r="M27" s="100">
        <f t="shared" si="1"/>
        <v>8.5</v>
      </c>
      <c r="N27" s="101">
        <f t="shared" si="2"/>
        <v>39.678</v>
      </c>
      <c r="O27" s="48" t="s">
        <v>98</v>
      </c>
      <c r="P27" s="48" t="s">
        <v>98</v>
      </c>
      <c r="Q27" s="48" t="s">
        <v>78</v>
      </c>
      <c r="R27" s="102" t="s">
        <v>79</v>
      </c>
      <c r="S27" s="103" t="e">
        <f t="shared" si="4"/>
        <v>#REF!</v>
      </c>
      <c r="T27" s="104" t="e">
        <f t="shared" si="3"/>
        <v>#REF!</v>
      </c>
    </row>
    <row r="28" ht="18.95" customHeight="1" spans="1:20">
      <c r="A28" s="94">
        <v>21</v>
      </c>
      <c r="B28" s="47" t="s">
        <v>76</v>
      </c>
      <c r="C28" s="95"/>
      <c r="D28" s="96"/>
      <c r="E28" s="65">
        <v>17</v>
      </c>
      <c r="F28" s="97" t="e">
        <f>#REF!</f>
        <v>#REF!</v>
      </c>
      <c r="G28" s="98">
        <v>2.757</v>
      </c>
      <c r="H28" s="99">
        <f t="shared" si="0"/>
        <v>46.869</v>
      </c>
      <c r="I28" s="100">
        <v>3.4</v>
      </c>
      <c r="J28" s="100">
        <v>4.6</v>
      </c>
      <c r="K28" s="100"/>
      <c r="L28" s="100">
        <v>0.5</v>
      </c>
      <c r="M28" s="100">
        <f t="shared" si="1"/>
        <v>8.5</v>
      </c>
      <c r="N28" s="101">
        <f t="shared" si="2"/>
        <v>398.3865</v>
      </c>
      <c r="O28" s="48" t="s">
        <v>99</v>
      </c>
      <c r="P28" s="48" t="s">
        <v>99</v>
      </c>
      <c r="Q28" s="48" t="s">
        <v>78</v>
      </c>
      <c r="R28" s="102" t="s">
        <v>79</v>
      </c>
      <c r="S28" s="103" t="e">
        <f t="shared" si="4"/>
        <v>#REF!</v>
      </c>
      <c r="T28" s="104" t="e">
        <f t="shared" si="3"/>
        <v>#REF!</v>
      </c>
    </row>
    <row r="29" ht="18.95" customHeight="1" spans="1:20">
      <c r="A29" s="94">
        <v>22</v>
      </c>
      <c r="B29" s="47" t="s">
        <v>76</v>
      </c>
      <c r="C29" s="95"/>
      <c r="D29" s="96"/>
      <c r="E29" s="65">
        <v>72</v>
      </c>
      <c r="F29" s="97" t="e">
        <f>#REF!</f>
        <v>#REF!</v>
      </c>
      <c r="G29" s="98">
        <v>0.05</v>
      </c>
      <c r="H29" s="99">
        <f t="shared" si="0"/>
        <v>3.6</v>
      </c>
      <c r="I29" s="100">
        <v>3.4</v>
      </c>
      <c r="J29" s="100">
        <v>3.7</v>
      </c>
      <c r="K29" s="100"/>
      <c r="L29" s="100">
        <v>0.5</v>
      </c>
      <c r="M29" s="100">
        <f t="shared" si="1"/>
        <v>7.6</v>
      </c>
      <c r="N29" s="101">
        <f t="shared" si="2"/>
        <v>27.36</v>
      </c>
      <c r="O29" s="48" t="s">
        <v>100</v>
      </c>
      <c r="P29" s="48" t="s">
        <v>100</v>
      </c>
      <c r="Q29" s="48" t="s">
        <v>78</v>
      </c>
      <c r="R29" s="102" t="s">
        <v>79</v>
      </c>
      <c r="S29" s="103" t="e">
        <f t="shared" si="4"/>
        <v>#REF!</v>
      </c>
      <c r="T29" s="104" t="e">
        <f t="shared" si="3"/>
        <v>#REF!</v>
      </c>
    </row>
    <row r="30" ht="18.95" customHeight="1" spans="1:20">
      <c r="A30" s="94">
        <v>23</v>
      </c>
      <c r="B30" s="47" t="s">
        <v>76</v>
      </c>
      <c r="C30" s="95"/>
      <c r="D30" s="96"/>
      <c r="E30" s="65">
        <v>114</v>
      </c>
      <c r="F30" s="97" t="e">
        <f>#REF!</f>
        <v>#REF!</v>
      </c>
      <c r="G30" s="98">
        <v>0.05</v>
      </c>
      <c r="H30" s="99">
        <f t="shared" si="0"/>
        <v>5.7</v>
      </c>
      <c r="I30" s="100">
        <v>3.4</v>
      </c>
      <c r="J30" s="100">
        <v>3.7</v>
      </c>
      <c r="K30" s="100"/>
      <c r="L30" s="100">
        <v>0.5</v>
      </c>
      <c r="M30" s="100">
        <f t="shared" si="1"/>
        <v>7.6</v>
      </c>
      <c r="N30" s="101">
        <f t="shared" si="2"/>
        <v>43.32</v>
      </c>
      <c r="O30" s="48" t="s">
        <v>101</v>
      </c>
      <c r="P30" s="48" t="s">
        <v>101</v>
      </c>
      <c r="Q30" s="48" t="s">
        <v>78</v>
      </c>
      <c r="R30" s="102" t="s">
        <v>79</v>
      </c>
      <c r="S30" s="103" t="e">
        <f t="shared" si="4"/>
        <v>#REF!</v>
      </c>
      <c r="T30" s="104" t="e">
        <f t="shared" si="3"/>
        <v>#REF!</v>
      </c>
    </row>
    <row r="31" ht="18.95" customHeight="1" spans="1:20">
      <c r="A31" s="94">
        <v>24</v>
      </c>
      <c r="B31" s="47" t="s">
        <v>76</v>
      </c>
      <c r="C31" s="95"/>
      <c r="D31" s="96"/>
      <c r="E31" s="65">
        <v>138</v>
      </c>
      <c r="F31" s="97" t="e">
        <f>#REF!</f>
        <v>#REF!</v>
      </c>
      <c r="G31" s="98">
        <v>0.063</v>
      </c>
      <c r="H31" s="99">
        <f t="shared" si="0"/>
        <v>8.694</v>
      </c>
      <c r="I31" s="100">
        <v>3.4</v>
      </c>
      <c r="J31" s="100">
        <v>3.7</v>
      </c>
      <c r="K31" s="100"/>
      <c r="L31" s="100">
        <v>0.5</v>
      </c>
      <c r="M31" s="100">
        <f t="shared" si="1"/>
        <v>7.6</v>
      </c>
      <c r="N31" s="101">
        <f t="shared" si="2"/>
        <v>66.0744</v>
      </c>
      <c r="O31" s="48" t="s">
        <v>102</v>
      </c>
      <c r="P31" s="48" t="s">
        <v>102</v>
      </c>
      <c r="Q31" s="48" t="s">
        <v>78</v>
      </c>
      <c r="R31" s="102" t="s">
        <v>79</v>
      </c>
      <c r="S31" s="103" t="e">
        <f t="shared" si="4"/>
        <v>#REF!</v>
      </c>
      <c r="T31" s="104" t="e">
        <f t="shared" si="3"/>
        <v>#REF!</v>
      </c>
    </row>
    <row r="32" ht="18.95" customHeight="1" spans="1:20">
      <c r="A32" s="94">
        <v>25</v>
      </c>
      <c r="B32" s="47" t="s">
        <v>76</v>
      </c>
      <c r="C32" s="95"/>
      <c r="D32" s="96"/>
      <c r="E32" s="65">
        <v>30</v>
      </c>
      <c r="F32" s="97" t="e">
        <f>#REF!</f>
        <v>#REF!</v>
      </c>
      <c r="G32" s="98">
        <v>0.05</v>
      </c>
      <c r="H32" s="99">
        <f t="shared" si="0"/>
        <v>1.5</v>
      </c>
      <c r="I32" s="100">
        <v>3.4</v>
      </c>
      <c r="J32" s="100">
        <v>3.7</v>
      </c>
      <c r="K32" s="100"/>
      <c r="L32" s="100">
        <v>0.5</v>
      </c>
      <c r="M32" s="100">
        <f t="shared" si="1"/>
        <v>7.6</v>
      </c>
      <c r="N32" s="101">
        <f t="shared" si="2"/>
        <v>11.4</v>
      </c>
      <c r="O32" s="48" t="s">
        <v>103</v>
      </c>
      <c r="P32" s="48" t="s">
        <v>103</v>
      </c>
      <c r="Q32" s="48" t="s">
        <v>78</v>
      </c>
      <c r="R32" s="102" t="s">
        <v>79</v>
      </c>
      <c r="S32" s="103" t="e">
        <f t="shared" si="4"/>
        <v>#REF!</v>
      </c>
      <c r="T32" s="104" t="e">
        <f t="shared" si="3"/>
        <v>#REF!</v>
      </c>
    </row>
    <row r="33" ht="18.95" customHeight="1" spans="1:20">
      <c r="A33" s="94">
        <v>26</v>
      </c>
      <c r="B33" s="47" t="s">
        <v>76</v>
      </c>
      <c r="C33" s="95"/>
      <c r="D33" s="96"/>
      <c r="E33" s="65">
        <v>1</v>
      </c>
      <c r="F33" s="97" t="e">
        <f>#REF!</f>
        <v>#REF!</v>
      </c>
      <c r="G33" s="98">
        <v>25.615</v>
      </c>
      <c r="H33" s="99">
        <f t="shared" si="0"/>
        <v>25.615</v>
      </c>
      <c r="I33" s="100">
        <v>3.4</v>
      </c>
      <c r="J33" s="100">
        <v>4.6</v>
      </c>
      <c r="K33" s="100"/>
      <c r="L33" s="100"/>
      <c r="M33" s="100">
        <f t="shared" si="1"/>
        <v>8</v>
      </c>
      <c r="N33" s="101">
        <f t="shared" si="2"/>
        <v>204.92</v>
      </c>
      <c r="O33" s="48" t="s">
        <v>104</v>
      </c>
      <c r="P33" s="48" t="s">
        <v>104</v>
      </c>
      <c r="Q33" s="48" t="s">
        <v>78</v>
      </c>
      <c r="R33" s="102" t="s">
        <v>79</v>
      </c>
      <c r="S33" s="103" t="e">
        <f t="shared" si="4"/>
        <v>#REF!</v>
      </c>
      <c r="T33" s="104" t="e">
        <f t="shared" si="3"/>
        <v>#REF!</v>
      </c>
    </row>
    <row r="34" ht="18.95" customHeight="1" spans="1:20">
      <c r="A34" s="94">
        <v>27</v>
      </c>
      <c r="B34" s="47" t="s">
        <v>105</v>
      </c>
      <c r="C34" s="95"/>
      <c r="D34" s="96"/>
      <c r="E34" s="65">
        <v>4</v>
      </c>
      <c r="F34" s="97" t="e">
        <f>#REF!</f>
        <v>#REF!</v>
      </c>
      <c r="G34" s="98">
        <v>797.688</v>
      </c>
      <c r="H34" s="99">
        <f t="shared" si="0"/>
        <v>3190.752</v>
      </c>
      <c r="I34" s="100">
        <v>3.55</v>
      </c>
      <c r="J34" s="100">
        <v>4.6</v>
      </c>
      <c r="K34" s="100"/>
      <c r="L34" s="100"/>
      <c r="M34" s="100">
        <f t="shared" si="1"/>
        <v>8.15</v>
      </c>
      <c r="N34" s="101">
        <f t="shared" si="2"/>
        <v>26004.6288</v>
      </c>
      <c r="O34" s="48" t="s">
        <v>106</v>
      </c>
      <c r="P34" s="48" t="s">
        <v>106</v>
      </c>
      <c r="Q34" s="48" t="s">
        <v>78</v>
      </c>
      <c r="R34" s="102" t="s">
        <v>79</v>
      </c>
      <c r="S34" s="103" t="e">
        <f t="shared" si="4"/>
        <v>#REF!</v>
      </c>
      <c r="T34" s="104" t="e">
        <f t="shared" si="3"/>
        <v>#REF!</v>
      </c>
    </row>
    <row r="35" ht="18.95" customHeight="1" spans="1:20">
      <c r="A35" s="94">
        <v>28</v>
      </c>
      <c r="B35" s="47" t="s">
        <v>105</v>
      </c>
      <c r="C35" s="95"/>
      <c r="D35" s="96"/>
      <c r="E35" s="65">
        <v>1</v>
      </c>
      <c r="F35" s="97" t="e">
        <f>#REF!</f>
        <v>#REF!</v>
      </c>
      <c r="G35" s="98">
        <v>796.885</v>
      </c>
      <c r="H35" s="99">
        <f t="shared" si="0"/>
        <v>796.885</v>
      </c>
      <c r="I35" s="100">
        <v>3.55</v>
      </c>
      <c r="J35" s="100">
        <v>4.6</v>
      </c>
      <c r="K35" s="100"/>
      <c r="L35" s="100"/>
      <c r="M35" s="100">
        <f t="shared" si="1"/>
        <v>8.15</v>
      </c>
      <c r="N35" s="101">
        <f t="shared" si="2"/>
        <v>6494.61275</v>
      </c>
      <c r="O35" s="48" t="s">
        <v>107</v>
      </c>
      <c r="P35" s="48" t="s">
        <v>107</v>
      </c>
      <c r="Q35" s="48" t="s">
        <v>78</v>
      </c>
      <c r="R35" s="102" t="s">
        <v>79</v>
      </c>
      <c r="S35" s="103" t="e">
        <f t="shared" si="4"/>
        <v>#REF!</v>
      </c>
      <c r="T35" s="104" t="e">
        <f t="shared" si="3"/>
        <v>#REF!</v>
      </c>
    </row>
    <row r="36" ht="18.95" customHeight="1" spans="1:20">
      <c r="A36" s="94">
        <v>29</v>
      </c>
      <c r="B36" s="47" t="s">
        <v>105</v>
      </c>
      <c r="C36" s="95"/>
      <c r="D36" s="96"/>
      <c r="E36" s="65">
        <v>1</v>
      </c>
      <c r="F36" s="97" t="e">
        <f>#REF!</f>
        <v>#REF!</v>
      </c>
      <c r="G36" s="98">
        <v>797.287</v>
      </c>
      <c r="H36" s="99">
        <f t="shared" si="0"/>
        <v>797.287</v>
      </c>
      <c r="I36" s="100">
        <v>3.55</v>
      </c>
      <c r="J36" s="100">
        <v>4.6</v>
      </c>
      <c r="K36" s="100"/>
      <c r="L36" s="100"/>
      <c r="M36" s="100">
        <f t="shared" si="1"/>
        <v>8.15</v>
      </c>
      <c r="N36" s="101">
        <f t="shared" si="2"/>
        <v>6497.88905</v>
      </c>
      <c r="O36" s="48" t="s">
        <v>108</v>
      </c>
      <c r="P36" s="48" t="s">
        <v>108</v>
      </c>
      <c r="Q36" s="48" t="s">
        <v>78</v>
      </c>
      <c r="R36" s="102" t="s">
        <v>79</v>
      </c>
      <c r="S36" s="103" t="e">
        <f t="shared" si="4"/>
        <v>#REF!</v>
      </c>
      <c r="T36" s="104" t="e">
        <f t="shared" si="3"/>
        <v>#REF!</v>
      </c>
    </row>
    <row r="37" ht="18.95" customHeight="1" spans="1:20">
      <c r="A37" s="94">
        <v>30</v>
      </c>
      <c r="B37" s="47" t="s">
        <v>105</v>
      </c>
      <c r="C37" s="95"/>
      <c r="D37" s="96"/>
      <c r="E37" s="65">
        <v>3</v>
      </c>
      <c r="F37" s="97" t="e">
        <f>#REF!</f>
        <v>#REF!</v>
      </c>
      <c r="G37" s="98">
        <v>718.646</v>
      </c>
      <c r="H37" s="99">
        <f t="shared" si="0"/>
        <v>2155.938</v>
      </c>
      <c r="I37" s="100">
        <v>3.55</v>
      </c>
      <c r="J37" s="100">
        <v>3.7</v>
      </c>
      <c r="K37" s="100"/>
      <c r="L37" s="100"/>
      <c r="M37" s="100">
        <f t="shared" si="1"/>
        <v>7.25</v>
      </c>
      <c r="N37" s="101">
        <f t="shared" si="2"/>
        <v>15630.5505</v>
      </c>
      <c r="O37" s="48" t="s">
        <v>109</v>
      </c>
      <c r="P37" s="48" t="s">
        <v>110</v>
      </c>
      <c r="Q37" s="48" t="s">
        <v>78</v>
      </c>
      <c r="R37" s="102" t="s">
        <v>79</v>
      </c>
      <c r="S37" s="103" t="e">
        <f t="shared" si="4"/>
        <v>#REF!</v>
      </c>
      <c r="T37" s="104" t="e">
        <f t="shared" si="3"/>
        <v>#REF!</v>
      </c>
    </row>
    <row r="38" ht="18.95" customHeight="1" spans="1:20">
      <c r="A38" s="94">
        <v>31</v>
      </c>
      <c r="B38" s="47" t="s">
        <v>105</v>
      </c>
      <c r="C38" s="95"/>
      <c r="D38" s="96"/>
      <c r="E38" s="65">
        <v>3</v>
      </c>
      <c r="F38" s="97" t="e">
        <f>#REF!</f>
        <v>#REF!</v>
      </c>
      <c r="G38" s="98">
        <v>706.626</v>
      </c>
      <c r="H38" s="99">
        <f t="shared" si="0"/>
        <v>2119.878</v>
      </c>
      <c r="I38" s="100">
        <v>3.55</v>
      </c>
      <c r="J38" s="100">
        <v>3.7</v>
      </c>
      <c r="K38" s="100"/>
      <c r="L38" s="100"/>
      <c r="M38" s="100">
        <f t="shared" si="1"/>
        <v>7.25</v>
      </c>
      <c r="N38" s="101">
        <f t="shared" si="2"/>
        <v>15369.1155</v>
      </c>
      <c r="O38" s="48" t="s">
        <v>111</v>
      </c>
      <c r="P38" s="48" t="s">
        <v>110</v>
      </c>
      <c r="Q38" s="48" t="s">
        <v>78</v>
      </c>
      <c r="R38" s="102" t="s">
        <v>79</v>
      </c>
      <c r="S38" s="103" t="e">
        <f t="shared" si="4"/>
        <v>#REF!</v>
      </c>
      <c r="T38" s="104" t="e">
        <f t="shared" si="3"/>
        <v>#REF!</v>
      </c>
    </row>
    <row r="39" ht="18.95" customHeight="1" spans="1:20">
      <c r="A39" s="94">
        <v>32</v>
      </c>
      <c r="B39" s="47" t="s">
        <v>105</v>
      </c>
      <c r="C39" s="95"/>
      <c r="D39" s="96"/>
      <c r="E39" s="65">
        <v>6</v>
      </c>
      <c r="F39" s="97" t="e">
        <f>#REF!</f>
        <v>#REF!</v>
      </c>
      <c r="G39" s="98">
        <v>69.701</v>
      </c>
      <c r="H39" s="99">
        <f t="shared" si="0"/>
        <v>418.206</v>
      </c>
      <c r="I39" s="100">
        <v>3.55</v>
      </c>
      <c r="J39" s="100">
        <v>3.1</v>
      </c>
      <c r="K39" s="100"/>
      <c r="L39" s="100"/>
      <c r="M39" s="100">
        <f t="shared" si="1"/>
        <v>6.65</v>
      </c>
      <c r="N39" s="101">
        <f t="shared" si="2"/>
        <v>2781.0699</v>
      </c>
      <c r="O39" s="48" t="s">
        <v>112</v>
      </c>
      <c r="P39" s="48" t="s">
        <v>112</v>
      </c>
      <c r="Q39" s="48" t="s">
        <v>78</v>
      </c>
      <c r="R39" s="102" t="s">
        <v>79</v>
      </c>
      <c r="S39" s="103" t="e">
        <f t="shared" si="4"/>
        <v>#REF!</v>
      </c>
      <c r="T39" s="104" t="e">
        <f t="shared" si="3"/>
        <v>#REF!</v>
      </c>
    </row>
    <row r="40" ht="18.95" customHeight="1" spans="1:20">
      <c r="A40" s="94">
        <v>33</v>
      </c>
      <c r="B40" s="47" t="s">
        <v>105</v>
      </c>
      <c r="C40" s="95"/>
      <c r="D40" s="96"/>
      <c r="E40" s="65">
        <v>1</v>
      </c>
      <c r="F40" s="97" t="e">
        <f>#REF!</f>
        <v>#REF!</v>
      </c>
      <c r="G40" s="98">
        <v>418.585</v>
      </c>
      <c r="H40" s="99">
        <f t="shared" si="0"/>
        <v>418.585</v>
      </c>
      <c r="I40" s="100">
        <v>3.55</v>
      </c>
      <c r="J40" s="100">
        <v>4.6</v>
      </c>
      <c r="K40" s="100"/>
      <c r="L40" s="100"/>
      <c r="M40" s="100">
        <f t="shared" si="1"/>
        <v>8.15</v>
      </c>
      <c r="N40" s="101">
        <f t="shared" si="2"/>
        <v>3411.46775</v>
      </c>
      <c r="O40" s="48" t="s">
        <v>113</v>
      </c>
      <c r="P40" s="48" t="s">
        <v>113</v>
      </c>
      <c r="Q40" s="48" t="s">
        <v>78</v>
      </c>
      <c r="R40" s="102" t="s">
        <v>79</v>
      </c>
      <c r="S40" s="103" t="e">
        <f t="shared" si="4"/>
        <v>#REF!</v>
      </c>
      <c r="T40" s="104" t="e">
        <f t="shared" si="3"/>
        <v>#REF!</v>
      </c>
    </row>
    <row r="41" ht="18.95" customHeight="1" spans="1:20">
      <c r="A41" s="94">
        <v>34</v>
      </c>
      <c r="B41" s="47" t="s">
        <v>105</v>
      </c>
      <c r="C41" s="95"/>
      <c r="D41" s="96"/>
      <c r="E41" s="65">
        <v>1</v>
      </c>
      <c r="F41" s="97" t="e">
        <f>#REF!</f>
        <v>#REF!</v>
      </c>
      <c r="G41" s="98">
        <v>399.364</v>
      </c>
      <c r="H41" s="99">
        <f t="shared" si="0"/>
        <v>399.364</v>
      </c>
      <c r="I41" s="100">
        <v>3.55</v>
      </c>
      <c r="J41" s="100">
        <v>4.6</v>
      </c>
      <c r="K41" s="100"/>
      <c r="L41" s="100"/>
      <c r="M41" s="100">
        <f t="shared" si="1"/>
        <v>8.15</v>
      </c>
      <c r="N41" s="101">
        <f t="shared" si="2"/>
        <v>3254.8166</v>
      </c>
      <c r="O41" s="48" t="s">
        <v>114</v>
      </c>
      <c r="P41" s="48" t="s">
        <v>114</v>
      </c>
      <c r="Q41" s="48" t="s">
        <v>78</v>
      </c>
      <c r="R41" s="102" t="s">
        <v>79</v>
      </c>
      <c r="S41" s="103" t="e">
        <f t="shared" si="4"/>
        <v>#REF!</v>
      </c>
      <c r="T41" s="104" t="e">
        <f t="shared" si="3"/>
        <v>#REF!</v>
      </c>
    </row>
    <row r="42" ht="18.95" customHeight="1" spans="1:20">
      <c r="A42" s="94">
        <v>35</v>
      </c>
      <c r="B42" s="47" t="s">
        <v>115</v>
      </c>
      <c r="C42" s="95"/>
      <c r="D42" s="96"/>
      <c r="E42" s="65">
        <v>1</v>
      </c>
      <c r="F42" s="97" t="e">
        <f>#REF!</f>
        <v>#REF!</v>
      </c>
      <c r="G42" s="98">
        <v>52.872</v>
      </c>
      <c r="H42" s="99">
        <f t="shared" si="0"/>
        <v>52.872</v>
      </c>
      <c r="I42" s="100">
        <v>3.55</v>
      </c>
      <c r="J42" s="100">
        <v>4.3</v>
      </c>
      <c r="K42" s="100"/>
      <c r="L42" s="100"/>
      <c r="M42" s="100">
        <f t="shared" si="1"/>
        <v>7.85</v>
      </c>
      <c r="N42" s="101">
        <f t="shared" si="2"/>
        <v>415.0452</v>
      </c>
      <c r="O42" s="48" t="s">
        <v>116</v>
      </c>
      <c r="P42" s="48" t="s">
        <v>116</v>
      </c>
      <c r="Q42" s="48" t="s">
        <v>78</v>
      </c>
      <c r="R42" s="102" t="s">
        <v>79</v>
      </c>
      <c r="S42" s="103" t="e">
        <f t="shared" si="4"/>
        <v>#REF!</v>
      </c>
      <c r="T42" s="104" t="e">
        <f t="shared" si="3"/>
        <v>#REF!</v>
      </c>
    </row>
    <row r="43" ht="18.95" customHeight="1" spans="1:20">
      <c r="A43" s="94">
        <v>36</v>
      </c>
      <c r="B43" s="47" t="s">
        <v>115</v>
      </c>
      <c r="C43" s="95"/>
      <c r="D43" s="96"/>
      <c r="E43" s="65">
        <v>1</v>
      </c>
      <c r="F43" s="97" t="e">
        <f>#REF!</f>
        <v>#REF!</v>
      </c>
      <c r="G43" s="98">
        <v>40.371</v>
      </c>
      <c r="H43" s="99">
        <f t="shared" si="0"/>
        <v>40.371</v>
      </c>
      <c r="I43" s="100">
        <v>3.55</v>
      </c>
      <c r="J43" s="100">
        <v>4.3</v>
      </c>
      <c r="K43" s="100"/>
      <c r="L43" s="100"/>
      <c r="M43" s="100">
        <f t="shared" si="1"/>
        <v>7.85</v>
      </c>
      <c r="N43" s="101">
        <f t="shared" si="2"/>
        <v>316.91235</v>
      </c>
      <c r="O43" s="48" t="s">
        <v>117</v>
      </c>
      <c r="P43" s="48" t="s">
        <v>117</v>
      </c>
      <c r="Q43" s="48" t="s">
        <v>78</v>
      </c>
      <c r="R43" s="102" t="s">
        <v>79</v>
      </c>
      <c r="S43" s="103" t="e">
        <f t="shared" si="4"/>
        <v>#REF!</v>
      </c>
      <c r="T43" s="104" t="e">
        <f t="shared" si="3"/>
        <v>#REF!</v>
      </c>
    </row>
    <row r="44" ht="18.95" customHeight="1" spans="1:20">
      <c r="A44" s="94">
        <v>37</v>
      </c>
      <c r="B44" s="47" t="s">
        <v>115</v>
      </c>
      <c r="C44" s="95"/>
      <c r="D44" s="96"/>
      <c r="E44" s="65">
        <v>1</v>
      </c>
      <c r="F44" s="97" t="e">
        <f>#REF!</f>
        <v>#REF!</v>
      </c>
      <c r="G44" s="98">
        <v>49.014</v>
      </c>
      <c r="H44" s="99">
        <f t="shared" si="0"/>
        <v>49.014</v>
      </c>
      <c r="I44" s="100">
        <v>3.55</v>
      </c>
      <c r="J44" s="100">
        <v>4.3</v>
      </c>
      <c r="K44" s="100"/>
      <c r="L44" s="100"/>
      <c r="M44" s="100">
        <f t="shared" si="1"/>
        <v>7.85</v>
      </c>
      <c r="N44" s="101">
        <f t="shared" si="2"/>
        <v>384.7599</v>
      </c>
      <c r="O44" s="48" t="s">
        <v>118</v>
      </c>
      <c r="P44" s="48" t="s">
        <v>118</v>
      </c>
      <c r="Q44" s="48" t="s">
        <v>78</v>
      </c>
      <c r="R44" s="102" t="s">
        <v>79</v>
      </c>
      <c r="S44" s="103" t="e">
        <f t="shared" si="4"/>
        <v>#REF!</v>
      </c>
      <c r="T44" s="104" t="e">
        <f t="shared" si="3"/>
        <v>#REF!</v>
      </c>
    </row>
    <row r="45" ht="18.95" customHeight="1" spans="1:20">
      <c r="A45" s="94">
        <v>38</v>
      </c>
      <c r="B45" s="47" t="s">
        <v>115</v>
      </c>
      <c r="C45" s="95"/>
      <c r="D45" s="96"/>
      <c r="E45" s="65">
        <v>1</v>
      </c>
      <c r="F45" s="97" t="e">
        <f>#REF!</f>
        <v>#REF!</v>
      </c>
      <c r="G45" s="98">
        <v>37.493</v>
      </c>
      <c r="H45" s="99">
        <f t="shared" si="0"/>
        <v>37.493</v>
      </c>
      <c r="I45" s="100">
        <v>3.55</v>
      </c>
      <c r="J45" s="100">
        <v>4.3</v>
      </c>
      <c r="K45" s="100"/>
      <c r="L45" s="100"/>
      <c r="M45" s="100">
        <f t="shared" si="1"/>
        <v>7.85</v>
      </c>
      <c r="N45" s="101">
        <f t="shared" si="2"/>
        <v>294.32005</v>
      </c>
      <c r="O45" s="48" t="s">
        <v>119</v>
      </c>
      <c r="P45" s="48" t="s">
        <v>119</v>
      </c>
      <c r="Q45" s="48" t="s">
        <v>78</v>
      </c>
      <c r="R45" s="102" t="s">
        <v>79</v>
      </c>
      <c r="S45" s="103" t="e">
        <f t="shared" si="4"/>
        <v>#REF!</v>
      </c>
      <c r="T45" s="104" t="e">
        <f t="shared" si="3"/>
        <v>#REF!</v>
      </c>
    </row>
    <row r="46" ht="18.95" customHeight="1" spans="1:20">
      <c r="A46" s="94">
        <v>39</v>
      </c>
      <c r="B46" s="47" t="s">
        <v>115</v>
      </c>
      <c r="C46" s="95"/>
      <c r="D46" s="96"/>
      <c r="E46" s="65">
        <v>4</v>
      </c>
      <c r="F46" s="97" t="e">
        <f>#REF!</f>
        <v>#REF!</v>
      </c>
      <c r="G46" s="98">
        <v>33.322</v>
      </c>
      <c r="H46" s="99">
        <f t="shared" si="0"/>
        <v>133.288</v>
      </c>
      <c r="I46" s="100">
        <v>3.55</v>
      </c>
      <c r="J46" s="100">
        <v>4.3</v>
      </c>
      <c r="K46" s="100"/>
      <c r="L46" s="100"/>
      <c r="M46" s="100">
        <f t="shared" si="1"/>
        <v>7.85</v>
      </c>
      <c r="N46" s="101">
        <f t="shared" si="2"/>
        <v>1046.3108</v>
      </c>
      <c r="O46" s="48" t="s">
        <v>120</v>
      </c>
      <c r="P46" s="48" t="s">
        <v>120</v>
      </c>
      <c r="Q46" s="48" t="s">
        <v>78</v>
      </c>
      <c r="R46" s="102" t="s">
        <v>79</v>
      </c>
      <c r="S46" s="103" t="e">
        <f t="shared" si="4"/>
        <v>#REF!</v>
      </c>
      <c r="T46" s="104" t="e">
        <f t="shared" si="3"/>
        <v>#REF!</v>
      </c>
    </row>
    <row r="47" ht="18.95" customHeight="1" spans="1:20">
      <c r="A47" s="94">
        <v>40</v>
      </c>
      <c r="B47" s="47" t="s">
        <v>115</v>
      </c>
      <c r="C47" s="95"/>
      <c r="D47" s="96"/>
      <c r="E47" s="65">
        <v>1</v>
      </c>
      <c r="F47" s="97" t="e">
        <f>#REF!</f>
        <v>#REF!</v>
      </c>
      <c r="G47" s="98">
        <v>9.566</v>
      </c>
      <c r="H47" s="99">
        <f t="shared" si="0"/>
        <v>9.566</v>
      </c>
      <c r="I47" s="100">
        <v>3.55</v>
      </c>
      <c r="J47" s="100">
        <v>4.3</v>
      </c>
      <c r="K47" s="100"/>
      <c r="L47" s="100"/>
      <c r="M47" s="100">
        <f t="shared" si="1"/>
        <v>7.85</v>
      </c>
      <c r="N47" s="101">
        <f t="shared" si="2"/>
        <v>75.0931</v>
      </c>
      <c r="O47" s="48" t="s">
        <v>121</v>
      </c>
      <c r="P47" s="48" t="s">
        <v>121</v>
      </c>
      <c r="Q47" s="48" t="s">
        <v>78</v>
      </c>
      <c r="R47" s="102" t="s">
        <v>79</v>
      </c>
      <c r="S47" s="103" t="e">
        <f t="shared" si="4"/>
        <v>#REF!</v>
      </c>
      <c r="T47" s="104" t="e">
        <f t="shared" si="3"/>
        <v>#REF!</v>
      </c>
    </row>
    <row r="48" ht="18.95" customHeight="1" spans="1:20">
      <c r="A48" s="94">
        <v>41</v>
      </c>
      <c r="B48" s="47" t="s">
        <v>105</v>
      </c>
      <c r="C48" s="95"/>
      <c r="D48" s="96"/>
      <c r="E48" s="65">
        <v>1</v>
      </c>
      <c r="F48" s="97" t="e">
        <f>#REF!</f>
        <v>#REF!</v>
      </c>
      <c r="G48" s="98">
        <v>34.58</v>
      </c>
      <c r="H48" s="99">
        <f t="shared" si="0"/>
        <v>34.58</v>
      </c>
      <c r="I48" s="100">
        <v>3.55</v>
      </c>
      <c r="J48" s="100">
        <v>3.1</v>
      </c>
      <c r="K48" s="100"/>
      <c r="L48" s="100"/>
      <c r="M48" s="100">
        <f t="shared" si="1"/>
        <v>6.65</v>
      </c>
      <c r="N48" s="101">
        <f t="shared" si="2"/>
        <v>229.957</v>
      </c>
      <c r="O48" s="48" t="s">
        <v>122</v>
      </c>
      <c r="P48" s="48" t="s">
        <v>122</v>
      </c>
      <c r="Q48" s="48" t="s">
        <v>78</v>
      </c>
      <c r="R48" s="102" t="s">
        <v>79</v>
      </c>
      <c r="S48" s="103" t="e">
        <f t="shared" si="4"/>
        <v>#REF!</v>
      </c>
      <c r="T48" s="104" t="e">
        <f t="shared" si="3"/>
        <v>#REF!</v>
      </c>
    </row>
    <row r="49" ht="18.95" customHeight="1" spans="1:20">
      <c r="A49" s="94">
        <v>42</v>
      </c>
      <c r="B49" s="47" t="s">
        <v>105</v>
      </c>
      <c r="C49" s="95"/>
      <c r="D49" s="96"/>
      <c r="E49" s="65">
        <v>4</v>
      </c>
      <c r="F49" s="97" t="e">
        <f>#REF!</f>
        <v>#REF!</v>
      </c>
      <c r="G49" s="98">
        <v>286.991</v>
      </c>
      <c r="H49" s="99">
        <f t="shared" si="0"/>
        <v>1147.964</v>
      </c>
      <c r="I49" s="100">
        <v>3.55</v>
      </c>
      <c r="J49" s="100">
        <v>4.3</v>
      </c>
      <c r="K49" s="100"/>
      <c r="L49" s="100"/>
      <c r="M49" s="100">
        <f t="shared" si="1"/>
        <v>7.85</v>
      </c>
      <c r="N49" s="101">
        <f t="shared" si="2"/>
        <v>9011.5174</v>
      </c>
      <c r="O49" s="48" t="s">
        <v>123</v>
      </c>
      <c r="P49" s="48" t="s">
        <v>124</v>
      </c>
      <c r="Q49" s="48" t="s">
        <v>78</v>
      </c>
      <c r="R49" s="102" t="s">
        <v>79</v>
      </c>
      <c r="S49" s="103" t="e">
        <f t="shared" si="4"/>
        <v>#REF!</v>
      </c>
      <c r="T49" s="104" t="e">
        <f t="shared" si="3"/>
        <v>#REF!</v>
      </c>
    </row>
    <row r="50" ht="18.95" customHeight="1" spans="1:20">
      <c r="A50" s="94">
        <v>43</v>
      </c>
      <c r="B50" s="47" t="s">
        <v>105</v>
      </c>
      <c r="C50" s="95"/>
      <c r="D50" s="96"/>
      <c r="E50" s="65">
        <v>8</v>
      </c>
      <c r="F50" s="97" t="e">
        <f>#REF!</f>
        <v>#REF!</v>
      </c>
      <c r="G50" s="98">
        <v>86.383</v>
      </c>
      <c r="H50" s="99">
        <f t="shared" si="0"/>
        <v>691.064</v>
      </c>
      <c r="I50" s="100">
        <v>3.55</v>
      </c>
      <c r="J50" s="100">
        <v>4.3</v>
      </c>
      <c r="K50" s="100"/>
      <c r="L50" s="100"/>
      <c r="M50" s="100">
        <f t="shared" si="1"/>
        <v>7.85</v>
      </c>
      <c r="N50" s="101">
        <f t="shared" si="2"/>
        <v>5424.8524</v>
      </c>
      <c r="O50" s="48" t="s">
        <v>125</v>
      </c>
      <c r="P50" s="48" t="s">
        <v>124</v>
      </c>
      <c r="Q50" s="48" t="s">
        <v>78</v>
      </c>
      <c r="R50" s="102" t="s">
        <v>79</v>
      </c>
      <c r="S50" s="103" t="e">
        <f t="shared" si="4"/>
        <v>#REF!</v>
      </c>
      <c r="T50" s="104" t="e">
        <f t="shared" si="3"/>
        <v>#REF!</v>
      </c>
    </row>
    <row r="51" ht="18.95" customHeight="1" spans="1:20">
      <c r="A51" s="94">
        <v>44</v>
      </c>
      <c r="B51" s="47" t="s">
        <v>105</v>
      </c>
      <c r="C51" s="95"/>
      <c r="D51" s="96"/>
      <c r="E51" s="65">
        <v>8</v>
      </c>
      <c r="F51" s="97" t="e">
        <f>#REF!</f>
        <v>#REF!</v>
      </c>
      <c r="G51" s="98">
        <v>53.556</v>
      </c>
      <c r="H51" s="99">
        <f t="shared" si="0"/>
        <v>428.448</v>
      </c>
      <c r="I51" s="100">
        <v>3.55</v>
      </c>
      <c r="J51" s="100">
        <v>4.3</v>
      </c>
      <c r="K51" s="100"/>
      <c r="L51" s="100"/>
      <c r="M51" s="100">
        <f t="shared" si="1"/>
        <v>7.85</v>
      </c>
      <c r="N51" s="101">
        <f t="shared" si="2"/>
        <v>3363.3168</v>
      </c>
      <c r="O51" s="48" t="s">
        <v>126</v>
      </c>
      <c r="P51" s="48" t="s">
        <v>124</v>
      </c>
      <c r="Q51" s="48" t="s">
        <v>78</v>
      </c>
      <c r="R51" s="102" t="s">
        <v>79</v>
      </c>
      <c r="S51" s="103" t="e">
        <f t="shared" si="4"/>
        <v>#REF!</v>
      </c>
      <c r="T51" s="104" t="e">
        <f t="shared" si="3"/>
        <v>#REF!</v>
      </c>
    </row>
    <row r="52" ht="18.95" customHeight="1" spans="1:20">
      <c r="A52" s="94">
        <v>45</v>
      </c>
      <c r="B52" s="47" t="s">
        <v>105</v>
      </c>
      <c r="C52" s="95"/>
      <c r="D52" s="96"/>
      <c r="E52" s="65">
        <v>11</v>
      </c>
      <c r="F52" s="97" t="e">
        <f>#REF!</f>
        <v>#REF!</v>
      </c>
      <c r="G52" s="98">
        <v>247.782</v>
      </c>
      <c r="H52" s="99">
        <f t="shared" si="0"/>
        <v>2725.602</v>
      </c>
      <c r="I52" s="100">
        <v>3.55</v>
      </c>
      <c r="J52" s="100">
        <v>4.3</v>
      </c>
      <c r="K52" s="100"/>
      <c r="L52" s="100"/>
      <c r="M52" s="100">
        <f t="shared" si="1"/>
        <v>7.85</v>
      </c>
      <c r="N52" s="101">
        <f t="shared" si="2"/>
        <v>21395.9757</v>
      </c>
      <c r="O52" s="48" t="s">
        <v>127</v>
      </c>
      <c r="P52" s="48" t="s">
        <v>124</v>
      </c>
      <c r="Q52" s="48" t="s">
        <v>78</v>
      </c>
      <c r="R52" s="102" t="s">
        <v>79</v>
      </c>
      <c r="S52" s="103" t="e">
        <f t="shared" si="4"/>
        <v>#REF!</v>
      </c>
      <c r="T52" s="104" t="e">
        <f t="shared" si="3"/>
        <v>#REF!</v>
      </c>
    </row>
    <row r="53" ht="18.95" customHeight="1" spans="1:20">
      <c r="A53" s="94">
        <v>46</v>
      </c>
      <c r="B53" s="47" t="s">
        <v>105</v>
      </c>
      <c r="C53" s="95"/>
      <c r="D53" s="96"/>
      <c r="E53" s="65">
        <v>18</v>
      </c>
      <c r="F53" s="97" t="e">
        <f>#REF!</f>
        <v>#REF!</v>
      </c>
      <c r="G53" s="98">
        <v>85.714</v>
      </c>
      <c r="H53" s="99">
        <f t="shared" si="0"/>
        <v>1542.852</v>
      </c>
      <c r="I53" s="100">
        <v>3.55</v>
      </c>
      <c r="J53" s="100">
        <v>4.3</v>
      </c>
      <c r="K53" s="100"/>
      <c r="L53" s="100"/>
      <c r="M53" s="100">
        <f t="shared" si="1"/>
        <v>7.85</v>
      </c>
      <c r="N53" s="101">
        <f t="shared" si="2"/>
        <v>12111.3882</v>
      </c>
      <c r="O53" s="48" t="s">
        <v>128</v>
      </c>
      <c r="P53" s="48" t="s">
        <v>124</v>
      </c>
      <c r="Q53" s="48" t="s">
        <v>78</v>
      </c>
      <c r="R53" s="102" t="s">
        <v>79</v>
      </c>
      <c r="S53" s="103" t="e">
        <f t="shared" si="4"/>
        <v>#REF!</v>
      </c>
      <c r="T53" s="104" t="e">
        <f t="shared" si="3"/>
        <v>#REF!</v>
      </c>
    </row>
    <row r="54" ht="18.95" customHeight="1" spans="1:20">
      <c r="A54" s="94">
        <v>47</v>
      </c>
      <c r="B54" s="47" t="s">
        <v>105</v>
      </c>
      <c r="C54" s="95"/>
      <c r="D54" s="96"/>
      <c r="E54" s="65">
        <v>5</v>
      </c>
      <c r="F54" s="105" t="e">
        <f>#REF!</f>
        <v>#REF!</v>
      </c>
      <c r="G54" s="98">
        <v>79.453</v>
      </c>
      <c r="H54" s="99">
        <f t="shared" si="0"/>
        <v>397.265</v>
      </c>
      <c r="I54" s="100">
        <v>3.55</v>
      </c>
      <c r="J54" s="100">
        <v>4.3</v>
      </c>
      <c r="K54" s="100"/>
      <c r="L54" s="100"/>
      <c r="M54" s="100">
        <f t="shared" si="1"/>
        <v>7.85</v>
      </c>
      <c r="N54" s="101">
        <f t="shared" si="2"/>
        <v>3118.53025</v>
      </c>
      <c r="O54" s="48" t="s">
        <v>129</v>
      </c>
      <c r="P54" s="48" t="s">
        <v>124</v>
      </c>
      <c r="Q54" s="48" t="s">
        <v>78</v>
      </c>
      <c r="R54" s="102" t="s">
        <v>79</v>
      </c>
      <c r="S54" s="103" t="e">
        <f t="shared" si="4"/>
        <v>#REF!</v>
      </c>
      <c r="T54" s="104" t="e">
        <f t="shared" si="3"/>
        <v>#REF!</v>
      </c>
    </row>
    <row r="55" ht="18.95" customHeight="1" spans="1:20">
      <c r="A55" s="94">
        <v>48</v>
      </c>
      <c r="B55" s="47" t="s">
        <v>105</v>
      </c>
      <c r="C55" s="95"/>
      <c r="D55" s="96"/>
      <c r="E55" s="65">
        <v>2</v>
      </c>
      <c r="F55" s="105" t="e">
        <f>#REF!</f>
        <v>#REF!</v>
      </c>
      <c r="G55" s="98">
        <v>69.179</v>
      </c>
      <c r="H55" s="99">
        <f t="shared" si="0"/>
        <v>138.358</v>
      </c>
      <c r="I55" s="100">
        <v>3.55</v>
      </c>
      <c r="J55" s="100">
        <v>4.6</v>
      </c>
      <c r="K55" s="100"/>
      <c r="L55" s="100"/>
      <c r="M55" s="100">
        <f t="shared" si="1"/>
        <v>8.15</v>
      </c>
      <c r="N55" s="101">
        <f t="shared" si="2"/>
        <v>1127.6177</v>
      </c>
      <c r="O55" s="48" t="s">
        <v>130</v>
      </c>
      <c r="P55" s="48" t="s">
        <v>130</v>
      </c>
      <c r="Q55" s="48" t="s">
        <v>78</v>
      </c>
      <c r="R55" s="102" t="s">
        <v>79</v>
      </c>
      <c r="S55" s="103" t="e">
        <f t="shared" si="4"/>
        <v>#REF!</v>
      </c>
      <c r="T55" s="104" t="e">
        <f t="shared" si="3"/>
        <v>#REF!</v>
      </c>
    </row>
    <row r="56" ht="18.95" customHeight="1" spans="1:20">
      <c r="A56" s="94">
        <v>49</v>
      </c>
      <c r="B56" s="47" t="s">
        <v>105</v>
      </c>
      <c r="C56" s="95"/>
      <c r="D56" s="96"/>
      <c r="E56" s="65">
        <v>3</v>
      </c>
      <c r="F56" s="105">
        <v>248.329</v>
      </c>
      <c r="G56" s="98">
        <v>248.329</v>
      </c>
      <c r="H56" s="99">
        <f t="shared" si="0"/>
        <v>744.987</v>
      </c>
      <c r="I56" s="100">
        <v>3.55</v>
      </c>
      <c r="J56" s="100">
        <v>4.3</v>
      </c>
      <c r="K56" s="100"/>
      <c r="L56" s="100"/>
      <c r="M56" s="100">
        <f t="shared" si="1"/>
        <v>7.85</v>
      </c>
      <c r="N56" s="101">
        <f t="shared" si="2"/>
        <v>5848.14795</v>
      </c>
      <c r="O56" s="48" t="s">
        <v>131</v>
      </c>
      <c r="P56" s="48" t="s">
        <v>131</v>
      </c>
      <c r="Q56" s="48" t="s">
        <v>78</v>
      </c>
      <c r="R56" s="102" t="s">
        <v>79</v>
      </c>
      <c r="S56" s="103">
        <f t="shared" si="4"/>
        <v>744.987</v>
      </c>
      <c r="T56" s="104">
        <f t="shared" si="3"/>
        <v>0</v>
      </c>
    </row>
    <row r="57" ht="18.95" customHeight="1" spans="1:20">
      <c r="A57" s="94">
        <v>50</v>
      </c>
      <c r="B57" s="47" t="s">
        <v>105</v>
      </c>
      <c r="C57" s="95"/>
      <c r="D57" s="96"/>
      <c r="E57" s="65">
        <v>3</v>
      </c>
      <c r="F57" s="105">
        <v>85.714</v>
      </c>
      <c r="G57" s="98">
        <v>85.714</v>
      </c>
      <c r="H57" s="99">
        <f t="shared" si="0"/>
        <v>257.142</v>
      </c>
      <c r="I57" s="100">
        <v>3.55</v>
      </c>
      <c r="J57" s="100">
        <v>4.3</v>
      </c>
      <c r="K57" s="100"/>
      <c r="L57" s="100"/>
      <c r="M57" s="100">
        <f t="shared" si="1"/>
        <v>7.85</v>
      </c>
      <c r="N57" s="101">
        <f t="shared" si="2"/>
        <v>2018.5647</v>
      </c>
      <c r="O57" s="48" t="s">
        <v>132</v>
      </c>
      <c r="P57" s="48" t="s">
        <v>132</v>
      </c>
      <c r="Q57" s="48" t="s">
        <v>78</v>
      </c>
      <c r="R57" s="102" t="s">
        <v>79</v>
      </c>
      <c r="S57" s="103">
        <f t="shared" si="4"/>
        <v>257.142</v>
      </c>
      <c r="T57" s="104">
        <f t="shared" si="3"/>
        <v>0</v>
      </c>
    </row>
    <row r="58" ht="18.95" customHeight="1" spans="1:20">
      <c r="A58" s="94">
        <v>51</v>
      </c>
      <c r="B58" s="47" t="s">
        <v>105</v>
      </c>
      <c r="C58" s="95"/>
      <c r="D58" s="96"/>
      <c r="E58" s="65">
        <v>3</v>
      </c>
      <c r="F58" s="105">
        <v>85.714</v>
      </c>
      <c r="G58" s="98">
        <v>85.714</v>
      </c>
      <c r="H58" s="99">
        <f t="shared" si="0"/>
        <v>257.142</v>
      </c>
      <c r="I58" s="100">
        <v>3.55</v>
      </c>
      <c r="J58" s="100">
        <v>4.3</v>
      </c>
      <c r="K58" s="100"/>
      <c r="L58" s="100"/>
      <c r="M58" s="100">
        <f t="shared" si="1"/>
        <v>7.85</v>
      </c>
      <c r="N58" s="101">
        <f t="shared" si="2"/>
        <v>2018.5647</v>
      </c>
      <c r="O58" s="48" t="s">
        <v>133</v>
      </c>
      <c r="P58" s="48" t="s">
        <v>133</v>
      </c>
      <c r="Q58" s="48" t="s">
        <v>78</v>
      </c>
      <c r="R58" s="102" t="s">
        <v>79</v>
      </c>
      <c r="S58" s="103">
        <f t="shared" si="4"/>
        <v>257.142</v>
      </c>
      <c r="T58" s="104">
        <f t="shared" si="3"/>
        <v>0</v>
      </c>
    </row>
    <row r="59" ht="18.95" customHeight="1" spans="1:20">
      <c r="A59" s="94">
        <v>52</v>
      </c>
      <c r="B59" s="47" t="s">
        <v>105</v>
      </c>
      <c r="C59" s="95"/>
      <c r="D59" s="96"/>
      <c r="E59" s="65">
        <v>4</v>
      </c>
      <c r="F59" s="105">
        <v>287.745</v>
      </c>
      <c r="G59" s="98">
        <v>287.745</v>
      </c>
      <c r="H59" s="99">
        <f t="shared" si="0"/>
        <v>1150.98</v>
      </c>
      <c r="I59" s="100">
        <v>3.55</v>
      </c>
      <c r="J59" s="100">
        <v>4.6</v>
      </c>
      <c r="K59" s="100"/>
      <c r="L59" s="100"/>
      <c r="M59" s="100">
        <f t="shared" si="1"/>
        <v>8.15</v>
      </c>
      <c r="N59" s="101">
        <f t="shared" si="2"/>
        <v>9380.487</v>
      </c>
      <c r="O59" s="48" t="s">
        <v>134</v>
      </c>
      <c r="P59" s="48" t="s">
        <v>134</v>
      </c>
      <c r="Q59" s="48" t="s">
        <v>78</v>
      </c>
      <c r="R59" s="102" t="s">
        <v>79</v>
      </c>
      <c r="S59" s="103">
        <f t="shared" si="4"/>
        <v>1150.98</v>
      </c>
      <c r="T59" s="104">
        <f t="shared" si="3"/>
        <v>0</v>
      </c>
    </row>
    <row r="60" ht="18.95" customHeight="1" spans="1:20">
      <c r="A60" s="94">
        <v>53</v>
      </c>
      <c r="B60" s="47" t="s">
        <v>105</v>
      </c>
      <c r="C60" s="95"/>
      <c r="D60" s="96"/>
      <c r="E60" s="65">
        <v>3</v>
      </c>
      <c r="F60" s="105">
        <v>85.714</v>
      </c>
      <c r="G60" s="98">
        <v>85.714</v>
      </c>
      <c r="H60" s="99">
        <f t="shared" si="0"/>
        <v>257.142</v>
      </c>
      <c r="I60" s="100">
        <v>3.55</v>
      </c>
      <c r="J60" s="100">
        <v>4.6</v>
      </c>
      <c r="K60" s="100"/>
      <c r="L60" s="100"/>
      <c r="M60" s="100">
        <f t="shared" si="1"/>
        <v>8.15</v>
      </c>
      <c r="N60" s="101">
        <f t="shared" si="2"/>
        <v>2095.7073</v>
      </c>
      <c r="O60" s="48" t="s">
        <v>135</v>
      </c>
      <c r="P60" s="48" t="s">
        <v>135</v>
      </c>
      <c r="Q60" s="48" t="s">
        <v>78</v>
      </c>
      <c r="R60" s="102" t="s">
        <v>79</v>
      </c>
      <c r="S60" s="103">
        <f t="shared" si="4"/>
        <v>257.142</v>
      </c>
      <c r="T60" s="104">
        <f t="shared" si="3"/>
        <v>0</v>
      </c>
    </row>
    <row r="61" ht="18.95" customHeight="1" spans="1:20">
      <c r="A61" s="94">
        <v>54</v>
      </c>
      <c r="B61" s="47" t="s">
        <v>105</v>
      </c>
      <c r="C61" s="95"/>
      <c r="D61" s="96"/>
      <c r="E61" s="65">
        <v>5</v>
      </c>
      <c r="F61" s="105">
        <v>85.714</v>
      </c>
      <c r="G61" s="98">
        <v>85.714</v>
      </c>
      <c r="H61" s="99">
        <f t="shared" si="0"/>
        <v>428.57</v>
      </c>
      <c r="I61" s="100">
        <v>3.55</v>
      </c>
      <c r="J61" s="100">
        <v>4.6</v>
      </c>
      <c r="K61" s="100"/>
      <c r="L61" s="100"/>
      <c r="M61" s="100">
        <f t="shared" si="1"/>
        <v>8.15</v>
      </c>
      <c r="N61" s="101">
        <f t="shared" si="2"/>
        <v>3492.8455</v>
      </c>
      <c r="O61" s="48" t="s">
        <v>136</v>
      </c>
      <c r="P61" s="48" t="s">
        <v>136</v>
      </c>
      <c r="Q61" s="48" t="s">
        <v>78</v>
      </c>
      <c r="R61" s="102" t="s">
        <v>79</v>
      </c>
      <c r="S61" s="103">
        <f t="shared" si="4"/>
        <v>428.57</v>
      </c>
      <c r="T61" s="104">
        <f t="shared" si="3"/>
        <v>0</v>
      </c>
    </row>
    <row r="62" ht="18.95" customHeight="1" spans="1:20">
      <c r="A62" s="94">
        <v>55</v>
      </c>
      <c r="B62" s="47" t="s">
        <v>105</v>
      </c>
      <c r="C62" s="95"/>
      <c r="D62" s="96"/>
      <c r="E62" s="65">
        <v>3</v>
      </c>
      <c r="F62" s="105">
        <v>79.453</v>
      </c>
      <c r="G62" s="98">
        <v>79.453</v>
      </c>
      <c r="H62" s="99">
        <f t="shared" si="0"/>
        <v>238.359</v>
      </c>
      <c r="I62" s="100">
        <v>3.55</v>
      </c>
      <c r="J62" s="100">
        <v>4.6</v>
      </c>
      <c r="K62" s="100"/>
      <c r="L62" s="100"/>
      <c r="M62" s="100">
        <f t="shared" si="1"/>
        <v>8.15</v>
      </c>
      <c r="N62" s="101">
        <f t="shared" si="2"/>
        <v>1942.62585</v>
      </c>
      <c r="O62" s="48" t="s">
        <v>137</v>
      </c>
      <c r="P62" s="48" t="s">
        <v>137</v>
      </c>
      <c r="Q62" s="48" t="s">
        <v>78</v>
      </c>
      <c r="R62" s="102" t="s">
        <v>79</v>
      </c>
      <c r="S62" s="103">
        <f t="shared" si="4"/>
        <v>238.359</v>
      </c>
      <c r="T62" s="104">
        <f t="shared" si="3"/>
        <v>0</v>
      </c>
    </row>
    <row r="63" ht="18.95" customHeight="1" spans="1:20">
      <c r="A63" s="94">
        <v>56</v>
      </c>
      <c r="B63" s="47" t="s">
        <v>105</v>
      </c>
      <c r="C63" s="95"/>
      <c r="D63" s="96"/>
      <c r="E63" s="65">
        <v>2</v>
      </c>
      <c r="F63" s="105">
        <v>30.283</v>
      </c>
      <c r="G63" s="98">
        <v>30.283</v>
      </c>
      <c r="H63" s="99">
        <f t="shared" si="0"/>
        <v>60.566</v>
      </c>
      <c r="I63" s="100">
        <v>3.55</v>
      </c>
      <c r="J63" s="100">
        <v>3.1</v>
      </c>
      <c r="K63" s="100"/>
      <c r="L63" s="100"/>
      <c r="M63" s="100">
        <f t="shared" si="1"/>
        <v>6.65</v>
      </c>
      <c r="N63" s="101">
        <f t="shared" si="2"/>
        <v>402.7639</v>
      </c>
      <c r="O63" s="48" t="s">
        <v>138</v>
      </c>
      <c r="P63" s="48" t="s">
        <v>139</v>
      </c>
      <c r="Q63" s="48" t="s">
        <v>78</v>
      </c>
      <c r="R63" s="102" t="s">
        <v>79</v>
      </c>
      <c r="S63" s="103">
        <f t="shared" si="4"/>
        <v>60.566</v>
      </c>
      <c r="T63" s="104">
        <f t="shared" si="3"/>
        <v>0</v>
      </c>
    </row>
    <row r="64" ht="18.95" customHeight="1" spans="1:20">
      <c r="A64" s="94">
        <v>57</v>
      </c>
      <c r="B64" s="47" t="s">
        <v>105</v>
      </c>
      <c r="C64" s="95"/>
      <c r="D64" s="96"/>
      <c r="E64" s="65">
        <v>1</v>
      </c>
      <c r="F64" s="105">
        <v>28.071</v>
      </c>
      <c r="G64" s="98">
        <v>28.071</v>
      </c>
      <c r="H64" s="99">
        <f t="shared" si="0"/>
        <v>28.071</v>
      </c>
      <c r="I64" s="100">
        <v>3.55</v>
      </c>
      <c r="J64" s="100">
        <v>3.1</v>
      </c>
      <c r="K64" s="100"/>
      <c r="L64" s="100"/>
      <c r="M64" s="100">
        <f t="shared" si="1"/>
        <v>6.65</v>
      </c>
      <c r="N64" s="101">
        <f t="shared" si="2"/>
        <v>186.67215</v>
      </c>
      <c r="O64" s="48" t="s">
        <v>140</v>
      </c>
      <c r="P64" s="48" t="s">
        <v>139</v>
      </c>
      <c r="Q64" s="48" t="s">
        <v>78</v>
      </c>
      <c r="R64" s="102" t="s">
        <v>79</v>
      </c>
      <c r="S64" s="103">
        <f t="shared" si="4"/>
        <v>28.071</v>
      </c>
      <c r="T64" s="104">
        <f t="shared" si="3"/>
        <v>0</v>
      </c>
    </row>
    <row r="65" ht="18.95" customHeight="1" spans="1:21">
      <c r="A65" s="94">
        <v>58</v>
      </c>
      <c r="B65" s="47" t="s">
        <v>105</v>
      </c>
      <c r="C65" s="95"/>
      <c r="D65" s="96"/>
      <c r="E65" s="65">
        <v>1</v>
      </c>
      <c r="F65" s="105">
        <v>24.592</v>
      </c>
      <c r="G65" s="98">
        <v>24.592</v>
      </c>
      <c r="H65" s="99">
        <f t="shared" si="0"/>
        <v>24.592</v>
      </c>
      <c r="I65" s="100">
        <v>3.55</v>
      </c>
      <c r="J65" s="100">
        <v>3.1</v>
      </c>
      <c r="K65" s="100"/>
      <c r="L65" s="100"/>
      <c r="M65" s="100">
        <f t="shared" si="1"/>
        <v>6.65</v>
      </c>
      <c r="N65" s="101">
        <f t="shared" si="2"/>
        <v>163.5368</v>
      </c>
      <c r="O65" s="48" t="s">
        <v>141</v>
      </c>
      <c r="P65" s="48" t="s">
        <v>139</v>
      </c>
      <c r="Q65" s="48" t="s">
        <v>78</v>
      </c>
      <c r="R65" s="102" t="s">
        <v>79</v>
      </c>
      <c r="S65" s="103">
        <f t="shared" si="4"/>
        <v>24.592</v>
      </c>
      <c r="T65" s="104">
        <f t="shared" si="3"/>
        <v>0</v>
      </c>
    </row>
    <row r="66" ht="18.95" customHeight="1" spans="1:21">
      <c r="A66" s="94">
        <v>59</v>
      </c>
      <c r="B66" s="47" t="s">
        <v>105</v>
      </c>
      <c r="C66" s="95"/>
      <c r="D66" s="96"/>
      <c r="E66" s="65">
        <v>4</v>
      </c>
      <c r="F66" s="105">
        <v>102.448</v>
      </c>
      <c r="G66" s="98">
        <v>102.448</v>
      </c>
      <c r="H66" s="99">
        <f t="shared" si="0"/>
        <v>409.792</v>
      </c>
      <c r="I66" s="100">
        <v>3.55</v>
      </c>
      <c r="J66" s="100">
        <v>3.1</v>
      </c>
      <c r="K66" s="100"/>
      <c r="L66" s="100"/>
      <c r="M66" s="100">
        <f t="shared" si="1"/>
        <v>6.65</v>
      </c>
      <c r="N66" s="101">
        <f t="shared" si="2"/>
        <v>2725.1168</v>
      </c>
      <c r="O66" s="48" t="s">
        <v>142</v>
      </c>
      <c r="P66" s="48" t="s">
        <v>139</v>
      </c>
      <c r="Q66" s="48" t="s">
        <v>78</v>
      </c>
      <c r="R66" s="102" t="s">
        <v>79</v>
      </c>
      <c r="S66" s="103">
        <f t="shared" si="4"/>
        <v>409.792</v>
      </c>
      <c r="T66" s="104">
        <f t="shared" si="3"/>
        <v>0</v>
      </c>
    </row>
    <row r="67" ht="18.95" customHeight="1" spans="1:21">
      <c r="A67" s="94">
        <v>60</v>
      </c>
      <c r="B67" s="47" t="s">
        <v>105</v>
      </c>
      <c r="C67" s="95"/>
      <c r="D67" s="96"/>
      <c r="E67" s="65">
        <v>5</v>
      </c>
      <c r="F67" s="105">
        <v>31.572</v>
      </c>
      <c r="G67" s="98">
        <v>31.572</v>
      </c>
      <c r="H67" s="99">
        <f t="shared" si="0"/>
        <v>157.86</v>
      </c>
      <c r="I67" s="100">
        <v>3.55</v>
      </c>
      <c r="J67" s="100">
        <v>3.1</v>
      </c>
      <c r="K67" s="100"/>
      <c r="L67" s="100"/>
      <c r="M67" s="100">
        <f t="shared" si="1"/>
        <v>6.65</v>
      </c>
      <c r="N67" s="101">
        <f t="shared" si="2"/>
        <v>1049.769</v>
      </c>
      <c r="O67" s="48" t="s">
        <v>143</v>
      </c>
      <c r="P67" s="48" t="s">
        <v>139</v>
      </c>
      <c r="Q67" s="48" t="s">
        <v>78</v>
      </c>
      <c r="R67" s="102" t="s">
        <v>79</v>
      </c>
      <c r="S67" s="103">
        <f t="shared" si="4"/>
        <v>157.86</v>
      </c>
      <c r="T67" s="104">
        <f t="shared" si="3"/>
        <v>0</v>
      </c>
    </row>
    <row r="68" ht="18.95" customHeight="1" spans="1:21">
      <c r="A68" s="94">
        <v>61</v>
      </c>
      <c r="B68" s="47" t="s">
        <v>105</v>
      </c>
      <c r="C68" s="95"/>
      <c r="D68" s="96"/>
      <c r="E68" s="65">
        <v>4</v>
      </c>
      <c r="F68" s="105">
        <v>32.646</v>
      </c>
      <c r="G68" s="98">
        <v>32.646</v>
      </c>
      <c r="H68" s="99">
        <f t="shared" si="0"/>
        <v>130.584</v>
      </c>
      <c r="I68" s="100">
        <v>3.55</v>
      </c>
      <c r="J68" s="100">
        <v>3.1</v>
      </c>
      <c r="K68" s="100"/>
      <c r="L68" s="100"/>
      <c r="M68" s="100">
        <f t="shared" si="1"/>
        <v>6.65</v>
      </c>
      <c r="N68" s="101">
        <f t="shared" si="2"/>
        <v>868.3836</v>
      </c>
      <c r="O68" s="48" t="s">
        <v>144</v>
      </c>
      <c r="P68" s="48" t="s">
        <v>139</v>
      </c>
      <c r="Q68" s="48" t="s">
        <v>78</v>
      </c>
      <c r="R68" s="102" t="s">
        <v>79</v>
      </c>
      <c r="S68" s="103">
        <f t="shared" si="4"/>
        <v>130.584</v>
      </c>
      <c r="T68" s="104">
        <f t="shared" si="3"/>
        <v>0</v>
      </c>
    </row>
    <row r="69" ht="18.95" customHeight="1" spans="1:21">
      <c r="A69" s="94">
        <v>62</v>
      </c>
      <c r="B69" s="47" t="s">
        <v>105</v>
      </c>
      <c r="C69" s="95"/>
      <c r="D69" s="96"/>
      <c r="E69" s="65">
        <v>2</v>
      </c>
      <c r="F69" s="105">
        <v>39.519</v>
      </c>
      <c r="G69" s="98">
        <v>39.519</v>
      </c>
      <c r="H69" s="99">
        <f t="shared" si="0"/>
        <v>79.038</v>
      </c>
      <c r="I69" s="100">
        <v>3.55</v>
      </c>
      <c r="J69" s="100">
        <v>3.1</v>
      </c>
      <c r="K69" s="100"/>
      <c r="L69" s="100"/>
      <c r="M69" s="100">
        <f t="shared" si="1"/>
        <v>6.65</v>
      </c>
      <c r="N69" s="101">
        <f t="shared" si="2"/>
        <v>525.6027</v>
      </c>
      <c r="O69" s="48" t="s">
        <v>145</v>
      </c>
      <c r="P69" s="48" t="s">
        <v>139</v>
      </c>
      <c r="Q69" s="48" t="s">
        <v>78</v>
      </c>
      <c r="R69" s="102" t="s">
        <v>79</v>
      </c>
      <c r="S69" s="103">
        <f t="shared" si="4"/>
        <v>79.038</v>
      </c>
      <c r="T69" s="104">
        <f t="shared" si="3"/>
        <v>0</v>
      </c>
    </row>
    <row r="70" ht="18.95" customHeight="1" spans="1:21">
      <c r="A70" s="94">
        <v>63</v>
      </c>
      <c r="B70" s="47" t="s">
        <v>105</v>
      </c>
      <c r="C70" s="95"/>
      <c r="D70" s="96"/>
      <c r="E70" s="65">
        <v>2</v>
      </c>
      <c r="F70" s="105">
        <v>45.103</v>
      </c>
      <c r="G70" s="98">
        <v>45.103</v>
      </c>
      <c r="H70" s="99">
        <f t="shared" si="0"/>
        <v>90.206</v>
      </c>
      <c r="I70" s="100">
        <v>3.55</v>
      </c>
      <c r="J70" s="100">
        <v>3.1</v>
      </c>
      <c r="K70" s="100"/>
      <c r="L70" s="100"/>
      <c r="M70" s="100">
        <f t="shared" si="1"/>
        <v>6.65</v>
      </c>
      <c r="N70" s="101">
        <f t="shared" si="2"/>
        <v>599.8699</v>
      </c>
      <c r="O70" s="48" t="s">
        <v>146</v>
      </c>
      <c r="P70" s="48" t="s">
        <v>139</v>
      </c>
      <c r="Q70" s="48" t="s">
        <v>78</v>
      </c>
      <c r="R70" s="102" t="s">
        <v>79</v>
      </c>
      <c r="S70" s="103">
        <f t="shared" si="4"/>
        <v>90.206</v>
      </c>
      <c r="T70" s="104">
        <f t="shared" si="3"/>
        <v>0</v>
      </c>
    </row>
    <row r="71" ht="18.95" customHeight="1" spans="1:21">
      <c r="A71" s="94">
        <v>64</v>
      </c>
      <c r="B71" s="47" t="s">
        <v>105</v>
      </c>
      <c r="C71" s="95"/>
      <c r="D71" s="96"/>
      <c r="E71" s="65">
        <v>3</v>
      </c>
      <c r="F71" s="105">
        <v>21.37</v>
      </c>
      <c r="G71" s="98">
        <v>21.37</v>
      </c>
      <c r="H71" s="99">
        <f t="shared" si="0"/>
        <v>64.11</v>
      </c>
      <c r="I71" s="100">
        <v>3.55</v>
      </c>
      <c r="J71" s="100">
        <v>3.1</v>
      </c>
      <c r="K71" s="100"/>
      <c r="L71" s="100"/>
      <c r="M71" s="100">
        <f t="shared" si="1"/>
        <v>6.65</v>
      </c>
      <c r="N71" s="101">
        <f t="shared" si="2"/>
        <v>426.3315</v>
      </c>
      <c r="O71" s="48" t="s">
        <v>147</v>
      </c>
      <c r="P71" s="48" t="s">
        <v>139</v>
      </c>
      <c r="Q71" s="48" t="s">
        <v>78</v>
      </c>
      <c r="R71" s="102" t="s">
        <v>79</v>
      </c>
      <c r="S71" s="103">
        <f t="shared" si="4"/>
        <v>64.11</v>
      </c>
      <c r="T71" s="104">
        <f t="shared" si="3"/>
        <v>0</v>
      </c>
    </row>
    <row r="72" ht="18.95" customHeight="1" spans="1:21">
      <c r="A72" s="94">
        <v>65</v>
      </c>
      <c r="B72" s="47" t="s">
        <v>105</v>
      </c>
      <c r="C72" s="95"/>
      <c r="D72" s="96"/>
      <c r="E72" s="65">
        <v>1</v>
      </c>
      <c r="F72" s="105">
        <v>25.086</v>
      </c>
      <c r="G72" s="98">
        <v>25.086</v>
      </c>
      <c r="H72" s="99">
        <f t="shared" si="0"/>
        <v>25.086</v>
      </c>
      <c r="I72" s="100">
        <v>3.55</v>
      </c>
      <c r="J72" s="100">
        <v>3.1</v>
      </c>
      <c r="K72" s="100"/>
      <c r="L72" s="100"/>
      <c r="M72" s="100">
        <f t="shared" si="1"/>
        <v>6.65</v>
      </c>
      <c r="N72" s="101">
        <f t="shared" si="2"/>
        <v>166.8219</v>
      </c>
      <c r="O72" s="48" t="s">
        <v>148</v>
      </c>
      <c r="P72" s="48" t="s">
        <v>139</v>
      </c>
      <c r="Q72" s="48" t="s">
        <v>78</v>
      </c>
      <c r="R72" s="102" t="s">
        <v>79</v>
      </c>
      <c r="S72" s="103">
        <f t="shared" si="4"/>
        <v>25.086</v>
      </c>
      <c r="T72" s="104">
        <f t="shared" si="3"/>
        <v>0</v>
      </c>
    </row>
    <row r="73" ht="18.95" customHeight="1" spans="1:21">
      <c r="A73" s="94">
        <v>66</v>
      </c>
      <c r="B73" s="47" t="s">
        <v>105</v>
      </c>
      <c r="C73" s="95"/>
      <c r="D73" s="96"/>
      <c r="E73" s="65">
        <v>3</v>
      </c>
      <c r="F73" s="105">
        <v>88.595</v>
      </c>
      <c r="G73" s="98">
        <v>88.595</v>
      </c>
      <c r="H73" s="99">
        <f t="shared" ref="H73:H136" si="5">G73*E73</f>
        <v>265.785</v>
      </c>
      <c r="I73" s="100">
        <v>3.55</v>
      </c>
      <c r="J73" s="100">
        <v>3.1</v>
      </c>
      <c r="K73" s="100"/>
      <c r="L73" s="100"/>
      <c r="M73" s="100">
        <f t="shared" ref="M73:M136" si="6">I73+J73+K73+L73</f>
        <v>6.65</v>
      </c>
      <c r="N73" s="101">
        <f t="shared" ref="N73:N136" si="7">M73*H73</f>
        <v>1767.47025</v>
      </c>
      <c r="O73" s="48" t="s">
        <v>149</v>
      </c>
      <c r="P73" s="48" t="s">
        <v>139</v>
      </c>
      <c r="Q73" s="48" t="s">
        <v>78</v>
      </c>
      <c r="R73" s="102" t="s">
        <v>79</v>
      </c>
      <c r="S73" s="103">
        <f t="shared" ref="S73:S136" si="8">E73*F73</f>
        <v>265.785</v>
      </c>
      <c r="T73" s="104">
        <f t="shared" ref="T73:T136" si="9">F73-G73</f>
        <v>0</v>
      </c>
    </row>
    <row r="74" ht="18.95" customHeight="1" spans="1:21">
      <c r="A74" s="94">
        <v>67</v>
      </c>
      <c r="B74" s="47" t="s">
        <v>105</v>
      </c>
      <c r="C74" s="95"/>
      <c r="D74" s="96"/>
      <c r="E74" s="65">
        <v>2</v>
      </c>
      <c r="F74" s="105">
        <v>128.866</v>
      </c>
      <c r="G74" s="98">
        <v>128.866</v>
      </c>
      <c r="H74" s="99">
        <f t="shared" si="5"/>
        <v>257.732</v>
      </c>
      <c r="I74" s="100">
        <v>3.55</v>
      </c>
      <c r="J74" s="100">
        <v>3.1</v>
      </c>
      <c r="K74" s="100"/>
      <c r="L74" s="100"/>
      <c r="M74" s="100">
        <f t="shared" si="6"/>
        <v>6.65</v>
      </c>
      <c r="N74" s="101">
        <f t="shared" si="7"/>
        <v>1713.9178</v>
      </c>
      <c r="O74" s="48" t="s">
        <v>150</v>
      </c>
      <c r="P74" s="48" t="s">
        <v>139</v>
      </c>
      <c r="Q74" s="48" t="s">
        <v>78</v>
      </c>
      <c r="R74" s="102" t="s">
        <v>79</v>
      </c>
      <c r="S74" s="103">
        <f t="shared" si="8"/>
        <v>257.732</v>
      </c>
      <c r="T74" s="104">
        <f t="shared" si="9"/>
        <v>0</v>
      </c>
    </row>
    <row r="75" ht="18.95" customHeight="1" spans="1:21">
      <c r="A75" s="94">
        <v>68</v>
      </c>
      <c r="B75" s="47" t="s">
        <v>105</v>
      </c>
      <c r="C75" s="95"/>
      <c r="D75" s="96"/>
      <c r="E75" s="65">
        <v>1</v>
      </c>
      <c r="F75" s="105">
        <v>111.307</v>
      </c>
      <c r="G75" s="98">
        <v>111.307</v>
      </c>
      <c r="H75" s="99">
        <f t="shared" si="5"/>
        <v>111.307</v>
      </c>
      <c r="I75" s="100">
        <v>3.55</v>
      </c>
      <c r="J75" s="100">
        <v>4.6</v>
      </c>
      <c r="K75" s="100"/>
      <c r="L75" s="100"/>
      <c r="M75" s="100">
        <f t="shared" si="6"/>
        <v>8.15</v>
      </c>
      <c r="N75" s="101">
        <f t="shared" si="7"/>
        <v>907.15205</v>
      </c>
      <c r="O75" s="48" t="s">
        <v>151</v>
      </c>
      <c r="P75" s="48" t="s">
        <v>152</v>
      </c>
      <c r="Q75" s="48" t="s">
        <v>78</v>
      </c>
      <c r="R75" s="102" t="s">
        <v>79</v>
      </c>
      <c r="S75" s="103">
        <f t="shared" si="8"/>
        <v>111.307</v>
      </c>
      <c r="T75" s="104">
        <f t="shared" si="9"/>
        <v>0</v>
      </c>
    </row>
    <row r="76" ht="18.95" customHeight="1" spans="1:21">
      <c r="A76" s="94">
        <v>69</v>
      </c>
      <c r="B76" s="47" t="s">
        <v>105</v>
      </c>
      <c r="C76" s="95"/>
      <c r="D76" s="96"/>
      <c r="E76" s="65">
        <v>1</v>
      </c>
      <c r="F76" s="105">
        <v>97.454</v>
      </c>
      <c r="G76" s="98">
        <v>97.454</v>
      </c>
      <c r="H76" s="99">
        <f t="shared" si="5"/>
        <v>97.454</v>
      </c>
      <c r="I76" s="100">
        <v>3.55</v>
      </c>
      <c r="J76" s="100">
        <v>4.6</v>
      </c>
      <c r="K76" s="100"/>
      <c r="L76" s="100"/>
      <c r="M76" s="100">
        <f t="shared" si="6"/>
        <v>8.15</v>
      </c>
      <c r="N76" s="101">
        <f t="shared" si="7"/>
        <v>794.2501</v>
      </c>
      <c r="O76" s="48" t="s">
        <v>153</v>
      </c>
      <c r="P76" s="48" t="s">
        <v>152</v>
      </c>
      <c r="Q76" s="48" t="s">
        <v>78</v>
      </c>
      <c r="R76" s="102" t="s">
        <v>79</v>
      </c>
      <c r="S76" s="103">
        <f t="shared" si="8"/>
        <v>97.454</v>
      </c>
      <c r="T76" s="104">
        <f t="shared" si="9"/>
        <v>0</v>
      </c>
    </row>
    <row r="77" ht="18.95" customHeight="1" spans="1:21">
      <c r="A77" s="94">
        <v>70</v>
      </c>
      <c r="B77" s="47" t="s">
        <v>105</v>
      </c>
      <c r="C77" s="95"/>
      <c r="D77" s="96"/>
      <c r="E77" s="65">
        <v>3</v>
      </c>
      <c r="F77" s="105">
        <v>94.662</v>
      </c>
      <c r="G77" s="98">
        <v>94.662</v>
      </c>
      <c r="H77" s="99">
        <f t="shared" si="5"/>
        <v>283.986</v>
      </c>
      <c r="I77" s="100">
        <v>3.55</v>
      </c>
      <c r="J77" s="100">
        <v>4.6</v>
      </c>
      <c r="K77" s="100"/>
      <c r="L77" s="100"/>
      <c r="M77" s="100">
        <f t="shared" si="6"/>
        <v>8.15</v>
      </c>
      <c r="N77" s="101">
        <f t="shared" si="7"/>
        <v>2314.4859</v>
      </c>
      <c r="O77" s="48" t="s">
        <v>154</v>
      </c>
      <c r="P77" s="48" t="s">
        <v>152</v>
      </c>
      <c r="Q77" s="48" t="s">
        <v>78</v>
      </c>
      <c r="R77" s="102" t="s">
        <v>79</v>
      </c>
      <c r="S77" s="103">
        <f t="shared" si="8"/>
        <v>283.986</v>
      </c>
      <c r="T77" s="104">
        <f t="shared" si="9"/>
        <v>0</v>
      </c>
    </row>
    <row r="78" ht="18.95" customHeight="1" spans="1:21">
      <c r="A78" s="94">
        <v>71</v>
      </c>
      <c r="B78" s="47" t="s">
        <v>105</v>
      </c>
      <c r="C78" s="95"/>
      <c r="D78" s="96"/>
      <c r="E78" s="65">
        <v>3</v>
      </c>
      <c r="F78" s="105">
        <v>94.662</v>
      </c>
      <c r="G78" s="98">
        <v>94.662</v>
      </c>
      <c r="H78" s="99">
        <f t="shared" si="5"/>
        <v>283.986</v>
      </c>
      <c r="I78" s="100">
        <v>3.55</v>
      </c>
      <c r="J78" s="100">
        <v>4.6</v>
      </c>
      <c r="K78" s="100"/>
      <c r="L78" s="100"/>
      <c r="M78" s="100">
        <f t="shared" si="6"/>
        <v>8.15</v>
      </c>
      <c r="N78" s="101">
        <f t="shared" si="7"/>
        <v>2314.4859</v>
      </c>
      <c r="O78" s="48" t="s">
        <v>155</v>
      </c>
      <c r="P78" s="48" t="s">
        <v>152</v>
      </c>
      <c r="Q78" s="48" t="s">
        <v>78</v>
      </c>
      <c r="R78" s="102" t="s">
        <v>79</v>
      </c>
      <c r="S78" s="103">
        <f t="shared" si="8"/>
        <v>283.986</v>
      </c>
      <c r="T78" s="104">
        <f t="shared" si="9"/>
        <v>0</v>
      </c>
    </row>
    <row r="79" ht="18.95" customHeight="1" spans="1:21">
      <c r="A79" s="94">
        <v>72</v>
      </c>
      <c r="B79" s="47" t="s">
        <v>105</v>
      </c>
      <c r="C79" s="95"/>
      <c r="D79" s="96"/>
      <c r="E79" s="65">
        <v>1</v>
      </c>
      <c r="F79" s="105">
        <v>47.062</v>
      </c>
      <c r="G79" s="98">
        <v>47.062</v>
      </c>
      <c r="H79" s="99">
        <f t="shared" si="5"/>
        <v>47.062</v>
      </c>
      <c r="I79" s="100">
        <v>3.55</v>
      </c>
      <c r="J79" s="100">
        <v>4.9</v>
      </c>
      <c r="K79" s="100"/>
      <c r="L79" s="100"/>
      <c r="M79" s="100">
        <f t="shared" si="6"/>
        <v>8.45</v>
      </c>
      <c r="N79" s="101">
        <f t="shared" si="7"/>
        <v>397.6739</v>
      </c>
      <c r="O79" s="48" t="s">
        <v>156</v>
      </c>
      <c r="P79" s="48" t="s">
        <v>156</v>
      </c>
      <c r="Q79" s="48" t="s">
        <v>78</v>
      </c>
      <c r="R79" s="102" t="s">
        <v>79</v>
      </c>
      <c r="S79" s="103">
        <f t="shared" si="8"/>
        <v>47.062</v>
      </c>
      <c r="T79" s="104">
        <f t="shared" si="9"/>
        <v>0</v>
      </c>
      <c r="U79" s="106">
        <f>E79*120</f>
        <v>120</v>
      </c>
    </row>
    <row r="80" ht="18.95" customHeight="1" spans="1:21">
      <c r="A80" s="94">
        <v>73</v>
      </c>
      <c r="B80" s="47" t="s">
        <v>105</v>
      </c>
      <c r="C80" s="95"/>
      <c r="D80" s="96"/>
      <c r="E80" s="65">
        <v>3</v>
      </c>
      <c r="F80" s="105">
        <v>44.248</v>
      </c>
      <c r="G80" s="98">
        <v>44.248</v>
      </c>
      <c r="H80" s="99">
        <f t="shared" si="5"/>
        <v>132.744</v>
      </c>
      <c r="I80" s="100">
        <v>3.55</v>
      </c>
      <c r="J80" s="100">
        <v>4.9</v>
      </c>
      <c r="K80" s="100"/>
      <c r="L80" s="100"/>
      <c r="M80" s="100">
        <f t="shared" si="6"/>
        <v>8.45</v>
      </c>
      <c r="N80" s="101">
        <f t="shared" si="7"/>
        <v>1121.6868</v>
      </c>
      <c r="O80" s="48" t="s">
        <v>157</v>
      </c>
      <c r="P80" s="48" t="s">
        <v>157</v>
      </c>
      <c r="Q80" s="48" t="s">
        <v>78</v>
      </c>
      <c r="R80" s="102" t="s">
        <v>79</v>
      </c>
      <c r="S80" s="103">
        <f t="shared" si="8"/>
        <v>132.744</v>
      </c>
      <c r="T80" s="104">
        <f t="shared" si="9"/>
        <v>0</v>
      </c>
      <c r="U80" s="106">
        <v>120</v>
      </c>
    </row>
    <row r="81" ht="18.95" customHeight="1" spans="1:21">
      <c r="A81" s="94">
        <v>74</v>
      </c>
      <c r="B81" s="47" t="s">
        <v>105</v>
      </c>
      <c r="C81" s="95"/>
      <c r="D81" s="96"/>
      <c r="E81" s="65">
        <v>1</v>
      </c>
      <c r="F81" s="107" t="e">
        <f>#REF!</f>
        <v>#REF!</v>
      </c>
      <c r="G81" s="98">
        <v>80.087</v>
      </c>
      <c r="H81" s="99">
        <f t="shared" si="5"/>
        <v>80.087</v>
      </c>
      <c r="I81" s="100">
        <v>3.55</v>
      </c>
      <c r="J81" s="100">
        <v>4.9</v>
      </c>
      <c r="K81" s="100"/>
      <c r="L81" s="100"/>
      <c r="M81" s="100">
        <f t="shared" si="6"/>
        <v>8.45</v>
      </c>
      <c r="N81" s="101">
        <f t="shared" si="7"/>
        <v>676.73515</v>
      </c>
      <c r="O81" s="48" t="s">
        <v>158</v>
      </c>
      <c r="P81" s="48" t="s">
        <v>158</v>
      </c>
      <c r="Q81" s="48" t="s">
        <v>78</v>
      </c>
      <c r="R81" s="102" t="s">
        <v>79</v>
      </c>
      <c r="S81" s="103" t="e">
        <f t="shared" si="8"/>
        <v>#REF!</v>
      </c>
      <c r="T81" s="104" t="e">
        <f t="shared" si="9"/>
        <v>#REF!</v>
      </c>
    </row>
    <row r="82" ht="18.95" customHeight="1" spans="1:21">
      <c r="A82" s="94">
        <v>75</v>
      </c>
      <c r="B82" s="47" t="s">
        <v>105</v>
      </c>
      <c r="C82" s="95"/>
      <c r="D82" s="96"/>
      <c r="E82" s="65">
        <v>1</v>
      </c>
      <c r="F82" s="105">
        <v>28.071</v>
      </c>
      <c r="G82" s="98">
        <v>28.071</v>
      </c>
      <c r="H82" s="99">
        <f t="shared" si="5"/>
        <v>28.071</v>
      </c>
      <c r="I82" s="100">
        <v>3.55</v>
      </c>
      <c r="J82" s="100">
        <v>3.7</v>
      </c>
      <c r="K82" s="100"/>
      <c r="L82" s="100"/>
      <c r="M82" s="100">
        <f t="shared" si="6"/>
        <v>7.25</v>
      </c>
      <c r="N82" s="101">
        <f t="shared" si="7"/>
        <v>203.51475</v>
      </c>
      <c r="O82" s="48" t="s">
        <v>159</v>
      </c>
      <c r="P82" s="48" t="s">
        <v>159</v>
      </c>
      <c r="Q82" s="48" t="s">
        <v>78</v>
      </c>
      <c r="R82" s="102" t="s">
        <v>79</v>
      </c>
      <c r="S82" s="103">
        <f t="shared" si="8"/>
        <v>28.071</v>
      </c>
      <c r="T82" s="104">
        <f t="shared" si="9"/>
        <v>0</v>
      </c>
    </row>
    <row r="83" ht="18.95" customHeight="1" spans="1:21">
      <c r="A83" s="94">
        <v>76</v>
      </c>
      <c r="B83" s="47" t="s">
        <v>105</v>
      </c>
      <c r="C83" s="95"/>
      <c r="D83" s="96"/>
      <c r="E83" s="65">
        <v>3</v>
      </c>
      <c r="F83" s="105">
        <v>109.269</v>
      </c>
      <c r="G83" s="98">
        <v>109.269</v>
      </c>
      <c r="H83" s="99">
        <f t="shared" si="5"/>
        <v>327.807</v>
      </c>
      <c r="I83" s="100">
        <v>3.55</v>
      </c>
      <c r="J83" s="100">
        <v>4.9</v>
      </c>
      <c r="K83" s="100"/>
      <c r="L83" s="100"/>
      <c r="M83" s="100">
        <f t="shared" si="6"/>
        <v>8.45</v>
      </c>
      <c r="N83" s="101">
        <f t="shared" si="7"/>
        <v>2769.96915</v>
      </c>
      <c r="O83" s="48" t="s">
        <v>160</v>
      </c>
      <c r="P83" s="48" t="s">
        <v>160</v>
      </c>
      <c r="Q83" s="48" t="s">
        <v>78</v>
      </c>
      <c r="R83" s="102" t="s">
        <v>79</v>
      </c>
      <c r="S83" s="103">
        <f t="shared" si="8"/>
        <v>327.807</v>
      </c>
      <c r="T83" s="104">
        <f t="shared" si="9"/>
        <v>0</v>
      </c>
    </row>
    <row r="84" ht="18.95" customHeight="1" spans="1:21">
      <c r="A84" s="94">
        <v>77</v>
      </c>
      <c r="B84" s="47" t="s">
        <v>105</v>
      </c>
      <c r="C84" s="95"/>
      <c r="D84" s="96"/>
      <c r="E84" s="65">
        <v>2</v>
      </c>
      <c r="F84" s="105">
        <v>59.635</v>
      </c>
      <c r="G84" s="98">
        <v>59.635</v>
      </c>
      <c r="H84" s="99">
        <f t="shared" si="5"/>
        <v>119.27</v>
      </c>
      <c r="I84" s="100">
        <v>3.55</v>
      </c>
      <c r="J84" s="100">
        <v>4.9</v>
      </c>
      <c r="K84" s="100"/>
      <c r="L84" s="100"/>
      <c r="M84" s="100">
        <f t="shared" si="6"/>
        <v>8.45</v>
      </c>
      <c r="N84" s="101">
        <f t="shared" si="7"/>
        <v>1007.8315</v>
      </c>
      <c r="O84" s="48" t="s">
        <v>161</v>
      </c>
      <c r="P84" s="48" t="s">
        <v>162</v>
      </c>
      <c r="Q84" s="48" t="s">
        <v>78</v>
      </c>
      <c r="R84" s="102" t="s">
        <v>79</v>
      </c>
      <c r="S84" s="103">
        <f t="shared" si="8"/>
        <v>119.27</v>
      </c>
      <c r="T84" s="104">
        <f t="shared" si="9"/>
        <v>0</v>
      </c>
    </row>
    <row r="85" ht="18.95" customHeight="1" spans="1:21">
      <c r="A85" s="94">
        <v>78</v>
      </c>
      <c r="B85" s="47" t="s">
        <v>105</v>
      </c>
      <c r="C85" s="95"/>
      <c r="D85" s="96"/>
      <c r="E85" s="65">
        <v>3</v>
      </c>
      <c r="F85" s="105">
        <v>50.507</v>
      </c>
      <c r="G85" s="98">
        <v>50.507</v>
      </c>
      <c r="H85" s="99">
        <f t="shared" si="5"/>
        <v>151.521</v>
      </c>
      <c r="I85" s="100">
        <v>3.55</v>
      </c>
      <c r="J85" s="100">
        <v>4.9</v>
      </c>
      <c r="K85" s="100"/>
      <c r="L85" s="100"/>
      <c r="M85" s="100">
        <f t="shared" si="6"/>
        <v>8.45</v>
      </c>
      <c r="N85" s="101">
        <f t="shared" si="7"/>
        <v>1280.35245</v>
      </c>
      <c r="O85" s="48" t="s">
        <v>163</v>
      </c>
      <c r="P85" s="48" t="s">
        <v>162</v>
      </c>
      <c r="Q85" s="48" t="s">
        <v>78</v>
      </c>
      <c r="R85" s="102" t="s">
        <v>79</v>
      </c>
      <c r="S85" s="103">
        <f t="shared" si="8"/>
        <v>151.521</v>
      </c>
      <c r="T85" s="104">
        <f t="shared" si="9"/>
        <v>0</v>
      </c>
    </row>
    <row r="86" ht="18.95" customHeight="1" spans="1:21">
      <c r="A86" s="94">
        <v>79</v>
      </c>
      <c r="B86" s="47" t="s">
        <v>105</v>
      </c>
      <c r="C86" s="95"/>
      <c r="D86" s="96"/>
      <c r="E86" s="65">
        <v>2</v>
      </c>
      <c r="F86" s="105">
        <v>34.605</v>
      </c>
      <c r="G86" s="98">
        <v>34.605</v>
      </c>
      <c r="H86" s="99">
        <f t="shared" si="5"/>
        <v>69.21</v>
      </c>
      <c r="I86" s="100">
        <v>3.55</v>
      </c>
      <c r="J86" s="100">
        <v>4.9</v>
      </c>
      <c r="K86" s="100"/>
      <c r="L86" s="100"/>
      <c r="M86" s="100">
        <f t="shared" si="6"/>
        <v>8.45</v>
      </c>
      <c r="N86" s="101">
        <f t="shared" si="7"/>
        <v>584.8245</v>
      </c>
      <c r="O86" s="48" t="s">
        <v>164</v>
      </c>
      <c r="P86" s="48" t="s">
        <v>164</v>
      </c>
      <c r="Q86" s="48" t="s">
        <v>78</v>
      </c>
      <c r="R86" s="102" t="s">
        <v>79</v>
      </c>
      <c r="S86" s="103">
        <f t="shared" si="8"/>
        <v>69.21</v>
      </c>
      <c r="T86" s="104">
        <f t="shared" si="9"/>
        <v>0</v>
      </c>
    </row>
    <row r="87" ht="18.95" customHeight="1" spans="1:21">
      <c r="A87" s="94">
        <v>80</v>
      </c>
      <c r="B87" s="47" t="s">
        <v>105</v>
      </c>
      <c r="C87" s="95"/>
      <c r="D87" s="96"/>
      <c r="E87" s="65">
        <v>3</v>
      </c>
      <c r="F87" s="105">
        <v>47.47</v>
      </c>
      <c r="G87" s="98">
        <v>47.47</v>
      </c>
      <c r="H87" s="99">
        <f t="shared" si="5"/>
        <v>142.41</v>
      </c>
      <c r="I87" s="100">
        <v>3.55</v>
      </c>
      <c r="J87" s="100">
        <v>4.9</v>
      </c>
      <c r="K87" s="100"/>
      <c r="L87" s="100"/>
      <c r="M87" s="100">
        <f t="shared" si="6"/>
        <v>8.45</v>
      </c>
      <c r="N87" s="101">
        <f t="shared" si="7"/>
        <v>1203.3645</v>
      </c>
      <c r="O87" s="48" t="s">
        <v>165</v>
      </c>
      <c r="P87" s="48" t="s">
        <v>165</v>
      </c>
      <c r="Q87" s="48" t="s">
        <v>78</v>
      </c>
      <c r="R87" s="102" t="s">
        <v>79</v>
      </c>
      <c r="S87" s="103">
        <f t="shared" si="8"/>
        <v>142.41</v>
      </c>
      <c r="T87" s="104">
        <f t="shared" si="9"/>
        <v>0</v>
      </c>
    </row>
    <row r="88" ht="18.95" customHeight="1" spans="1:21">
      <c r="A88" s="94">
        <v>81</v>
      </c>
      <c r="B88" s="47" t="s">
        <v>105</v>
      </c>
      <c r="C88" s="95"/>
      <c r="D88" s="96"/>
      <c r="E88" s="65">
        <v>2</v>
      </c>
      <c r="F88" s="105">
        <v>32.646</v>
      </c>
      <c r="G88" s="98">
        <v>32.646</v>
      </c>
      <c r="H88" s="99">
        <f t="shared" si="5"/>
        <v>65.292</v>
      </c>
      <c r="I88" s="100">
        <v>3.55</v>
      </c>
      <c r="J88" s="100">
        <v>3.7</v>
      </c>
      <c r="K88" s="100"/>
      <c r="L88" s="100"/>
      <c r="M88" s="100">
        <f t="shared" si="6"/>
        <v>7.25</v>
      </c>
      <c r="N88" s="101">
        <f t="shared" si="7"/>
        <v>473.367</v>
      </c>
      <c r="O88" s="48" t="s">
        <v>166</v>
      </c>
      <c r="P88" s="48" t="s">
        <v>166</v>
      </c>
      <c r="Q88" s="48" t="s">
        <v>78</v>
      </c>
      <c r="R88" s="102" t="s">
        <v>79</v>
      </c>
      <c r="S88" s="103">
        <f t="shared" si="8"/>
        <v>65.292</v>
      </c>
      <c r="T88" s="104">
        <f t="shared" si="9"/>
        <v>0</v>
      </c>
    </row>
    <row r="89" ht="18.95" customHeight="1" spans="1:21">
      <c r="A89" s="94">
        <v>82</v>
      </c>
      <c r="B89" s="47" t="s">
        <v>105</v>
      </c>
      <c r="C89" s="95"/>
      <c r="D89" s="96"/>
      <c r="E89" s="65">
        <v>3</v>
      </c>
      <c r="F89" s="105">
        <v>53.521</v>
      </c>
      <c r="G89" s="98">
        <v>53.521</v>
      </c>
      <c r="H89" s="99">
        <f t="shared" si="5"/>
        <v>160.563</v>
      </c>
      <c r="I89" s="100">
        <v>3.55</v>
      </c>
      <c r="J89" s="100">
        <v>4.6</v>
      </c>
      <c r="K89" s="100"/>
      <c r="L89" s="100"/>
      <c r="M89" s="100">
        <f t="shared" si="6"/>
        <v>8.15</v>
      </c>
      <c r="N89" s="101">
        <f t="shared" si="7"/>
        <v>1308.58845</v>
      </c>
      <c r="O89" s="48" t="s">
        <v>167</v>
      </c>
      <c r="P89" s="48" t="s">
        <v>168</v>
      </c>
      <c r="Q89" s="48" t="s">
        <v>78</v>
      </c>
      <c r="R89" s="102" t="s">
        <v>79</v>
      </c>
      <c r="S89" s="103">
        <f t="shared" si="8"/>
        <v>160.563</v>
      </c>
      <c r="T89" s="104">
        <f t="shared" si="9"/>
        <v>0</v>
      </c>
    </row>
    <row r="90" ht="18.95" customHeight="1" spans="1:21">
      <c r="A90" s="94">
        <v>83</v>
      </c>
      <c r="B90" s="47" t="s">
        <v>105</v>
      </c>
      <c r="C90" s="95"/>
      <c r="D90" s="96"/>
      <c r="E90" s="65">
        <v>2</v>
      </c>
      <c r="F90" s="105">
        <v>44.393</v>
      </c>
      <c r="G90" s="98">
        <v>44.393</v>
      </c>
      <c r="H90" s="99">
        <f t="shared" si="5"/>
        <v>88.786</v>
      </c>
      <c r="I90" s="100">
        <v>3.55</v>
      </c>
      <c r="J90" s="100">
        <v>4.6</v>
      </c>
      <c r="K90" s="100"/>
      <c r="L90" s="100"/>
      <c r="M90" s="100">
        <f t="shared" si="6"/>
        <v>8.15</v>
      </c>
      <c r="N90" s="101">
        <f t="shared" si="7"/>
        <v>723.6059</v>
      </c>
      <c r="O90" s="48" t="s">
        <v>169</v>
      </c>
      <c r="P90" s="48" t="s">
        <v>168</v>
      </c>
      <c r="Q90" s="48" t="s">
        <v>78</v>
      </c>
      <c r="R90" s="102" t="s">
        <v>79</v>
      </c>
      <c r="S90" s="103">
        <f t="shared" si="8"/>
        <v>88.786</v>
      </c>
      <c r="T90" s="104">
        <f t="shared" si="9"/>
        <v>0</v>
      </c>
    </row>
    <row r="91" ht="18.95" customHeight="1" spans="1:21">
      <c r="A91" s="94">
        <v>84</v>
      </c>
      <c r="B91" s="47" t="s">
        <v>105</v>
      </c>
      <c r="C91" s="95"/>
      <c r="D91" s="96"/>
      <c r="E91" s="65">
        <v>1</v>
      </c>
      <c r="F91" s="105">
        <v>147.72</v>
      </c>
      <c r="G91" s="98">
        <v>147.72</v>
      </c>
      <c r="H91" s="99">
        <f t="shared" si="5"/>
        <v>147.72</v>
      </c>
      <c r="I91" s="100">
        <v>3.55</v>
      </c>
      <c r="J91" s="100">
        <v>4.6</v>
      </c>
      <c r="K91" s="100"/>
      <c r="L91" s="100"/>
      <c r="M91" s="100">
        <f t="shared" si="6"/>
        <v>8.15</v>
      </c>
      <c r="N91" s="101">
        <f t="shared" si="7"/>
        <v>1203.918</v>
      </c>
      <c r="O91" s="48" t="s">
        <v>170</v>
      </c>
      <c r="P91" s="48" t="s">
        <v>170</v>
      </c>
      <c r="Q91" s="48" t="s">
        <v>78</v>
      </c>
      <c r="R91" s="102" t="s">
        <v>79</v>
      </c>
      <c r="S91" s="103">
        <f t="shared" si="8"/>
        <v>147.72</v>
      </c>
      <c r="T91" s="104">
        <f t="shared" si="9"/>
        <v>0</v>
      </c>
    </row>
    <row r="92" ht="18.95" customHeight="1" spans="1:21">
      <c r="A92" s="94">
        <v>85</v>
      </c>
      <c r="B92" s="47" t="s">
        <v>105</v>
      </c>
      <c r="C92" s="95"/>
      <c r="D92" s="96"/>
      <c r="E92" s="65">
        <v>1</v>
      </c>
      <c r="F92" s="105">
        <v>41.151</v>
      </c>
      <c r="G92" s="98">
        <v>41.151</v>
      </c>
      <c r="H92" s="99">
        <f t="shared" si="5"/>
        <v>41.151</v>
      </c>
      <c r="I92" s="100">
        <v>3.55</v>
      </c>
      <c r="J92" s="100">
        <v>3.1</v>
      </c>
      <c r="K92" s="100"/>
      <c r="L92" s="100"/>
      <c r="M92" s="100">
        <f t="shared" si="6"/>
        <v>6.65</v>
      </c>
      <c r="N92" s="101">
        <f t="shared" si="7"/>
        <v>273.65415</v>
      </c>
      <c r="O92" s="48" t="s">
        <v>171</v>
      </c>
      <c r="P92" s="48" t="s">
        <v>171</v>
      </c>
      <c r="Q92" s="48" t="s">
        <v>78</v>
      </c>
      <c r="R92" s="102" t="s">
        <v>79</v>
      </c>
      <c r="S92" s="103">
        <f t="shared" si="8"/>
        <v>41.151</v>
      </c>
      <c r="T92" s="104">
        <f t="shared" si="9"/>
        <v>0</v>
      </c>
      <c r="U92" s="106">
        <f>E92*120</f>
        <v>120</v>
      </c>
    </row>
    <row r="93" ht="18.95" customHeight="1" spans="1:21">
      <c r="A93" s="94">
        <v>86</v>
      </c>
      <c r="B93" s="47" t="s">
        <v>105</v>
      </c>
      <c r="C93" s="95"/>
      <c r="D93" s="96"/>
      <c r="E93" s="65">
        <v>5</v>
      </c>
      <c r="F93" s="105">
        <v>19.265</v>
      </c>
      <c r="G93" s="98">
        <v>19.265</v>
      </c>
      <c r="H93" s="99">
        <f t="shared" si="5"/>
        <v>96.325</v>
      </c>
      <c r="I93" s="100">
        <v>3.55</v>
      </c>
      <c r="J93" s="100">
        <v>4.6</v>
      </c>
      <c r="K93" s="100"/>
      <c r="L93" s="100"/>
      <c r="M93" s="100">
        <f t="shared" si="6"/>
        <v>8.15</v>
      </c>
      <c r="N93" s="101">
        <f t="shared" si="7"/>
        <v>785.04875</v>
      </c>
      <c r="O93" s="48" t="s">
        <v>172</v>
      </c>
      <c r="P93" s="48" t="s">
        <v>172</v>
      </c>
      <c r="Q93" s="48" t="s">
        <v>78</v>
      </c>
      <c r="R93" s="102" t="s">
        <v>79</v>
      </c>
      <c r="S93" s="103">
        <f t="shared" si="8"/>
        <v>96.325</v>
      </c>
      <c r="T93" s="104">
        <f t="shared" si="9"/>
        <v>0</v>
      </c>
    </row>
    <row r="94" ht="18.95" customHeight="1" spans="1:21">
      <c r="A94" s="94">
        <v>87</v>
      </c>
      <c r="B94" s="47" t="s">
        <v>105</v>
      </c>
      <c r="C94" s="95"/>
      <c r="D94" s="96"/>
      <c r="E94" s="65">
        <v>2</v>
      </c>
      <c r="F94" s="105">
        <v>54.639</v>
      </c>
      <c r="G94" s="98">
        <v>54.639</v>
      </c>
      <c r="H94" s="99">
        <f t="shared" si="5"/>
        <v>109.278</v>
      </c>
      <c r="I94" s="100">
        <v>3.55</v>
      </c>
      <c r="J94" s="100">
        <v>4.6</v>
      </c>
      <c r="K94" s="100"/>
      <c r="L94" s="100"/>
      <c r="M94" s="100">
        <f t="shared" si="6"/>
        <v>8.15</v>
      </c>
      <c r="N94" s="101">
        <f t="shared" si="7"/>
        <v>890.6157</v>
      </c>
      <c r="O94" s="48" t="s">
        <v>173</v>
      </c>
      <c r="P94" s="48" t="s">
        <v>174</v>
      </c>
      <c r="Q94" s="48" t="s">
        <v>78</v>
      </c>
      <c r="R94" s="102" t="s">
        <v>79</v>
      </c>
      <c r="S94" s="103">
        <f t="shared" si="8"/>
        <v>109.278</v>
      </c>
      <c r="T94" s="104">
        <f t="shared" si="9"/>
        <v>0</v>
      </c>
    </row>
    <row r="95" ht="18.95" customHeight="1" spans="1:21">
      <c r="A95" s="94">
        <v>88</v>
      </c>
      <c r="B95" s="47" t="s">
        <v>105</v>
      </c>
      <c r="C95" s="95"/>
      <c r="D95" s="96"/>
      <c r="E95" s="65">
        <v>2</v>
      </c>
      <c r="F95" s="105">
        <v>55.928</v>
      </c>
      <c r="G95" s="98">
        <v>55.928</v>
      </c>
      <c r="H95" s="99">
        <f t="shared" si="5"/>
        <v>111.856</v>
      </c>
      <c r="I95" s="100">
        <v>3.55</v>
      </c>
      <c r="J95" s="100">
        <v>4.6</v>
      </c>
      <c r="K95" s="100"/>
      <c r="L95" s="100"/>
      <c r="M95" s="100">
        <f t="shared" si="6"/>
        <v>8.15</v>
      </c>
      <c r="N95" s="101">
        <f t="shared" si="7"/>
        <v>911.6264</v>
      </c>
      <c r="O95" s="48" t="s">
        <v>175</v>
      </c>
      <c r="P95" s="48" t="s">
        <v>174</v>
      </c>
      <c r="Q95" s="48" t="s">
        <v>78</v>
      </c>
      <c r="R95" s="102" t="s">
        <v>79</v>
      </c>
      <c r="S95" s="103">
        <f t="shared" si="8"/>
        <v>111.856</v>
      </c>
      <c r="T95" s="104">
        <f t="shared" si="9"/>
        <v>0</v>
      </c>
    </row>
    <row r="96" ht="18.95" customHeight="1" spans="1:21">
      <c r="A96" s="94">
        <v>89</v>
      </c>
      <c r="B96" s="47" t="s">
        <v>105</v>
      </c>
      <c r="C96" s="95"/>
      <c r="D96" s="96"/>
      <c r="E96" s="65">
        <v>1</v>
      </c>
      <c r="F96" s="105">
        <v>85.996</v>
      </c>
      <c r="G96" s="98">
        <v>85.996</v>
      </c>
      <c r="H96" s="99">
        <f t="shared" si="5"/>
        <v>85.996</v>
      </c>
      <c r="I96" s="100">
        <v>3.55</v>
      </c>
      <c r="J96" s="100">
        <v>4.6</v>
      </c>
      <c r="K96" s="100"/>
      <c r="L96" s="100"/>
      <c r="M96" s="100">
        <f t="shared" si="6"/>
        <v>8.15</v>
      </c>
      <c r="N96" s="101">
        <f t="shared" si="7"/>
        <v>700.8674</v>
      </c>
      <c r="O96" s="48" t="s">
        <v>176</v>
      </c>
      <c r="P96" s="48" t="s">
        <v>174</v>
      </c>
      <c r="Q96" s="48" t="s">
        <v>78</v>
      </c>
      <c r="R96" s="102" t="s">
        <v>79</v>
      </c>
      <c r="S96" s="103">
        <f t="shared" si="8"/>
        <v>85.996</v>
      </c>
      <c r="T96" s="104">
        <f t="shared" si="9"/>
        <v>0</v>
      </c>
    </row>
    <row r="97" ht="18.95" customHeight="1" spans="1:20">
      <c r="A97" s="94">
        <v>90</v>
      </c>
      <c r="B97" s="47" t="s">
        <v>105</v>
      </c>
      <c r="C97" s="95"/>
      <c r="D97" s="96"/>
      <c r="E97" s="65">
        <v>1</v>
      </c>
      <c r="F97" s="105">
        <v>60.223</v>
      </c>
      <c r="G97" s="98">
        <v>60.223</v>
      </c>
      <c r="H97" s="99">
        <f t="shared" si="5"/>
        <v>60.223</v>
      </c>
      <c r="I97" s="100">
        <v>3.55</v>
      </c>
      <c r="J97" s="100">
        <v>4.6</v>
      </c>
      <c r="K97" s="100"/>
      <c r="L97" s="100"/>
      <c r="M97" s="100">
        <f t="shared" si="6"/>
        <v>8.15</v>
      </c>
      <c r="N97" s="101">
        <f t="shared" si="7"/>
        <v>490.81745</v>
      </c>
      <c r="O97" s="48" t="s">
        <v>177</v>
      </c>
      <c r="P97" s="48" t="s">
        <v>174</v>
      </c>
      <c r="Q97" s="48" t="s">
        <v>78</v>
      </c>
      <c r="R97" s="102" t="s">
        <v>79</v>
      </c>
      <c r="S97" s="103">
        <f t="shared" si="8"/>
        <v>60.223</v>
      </c>
      <c r="T97" s="104">
        <f t="shared" si="9"/>
        <v>0</v>
      </c>
    </row>
    <row r="98" ht="18.95" customHeight="1" spans="1:20">
      <c r="A98" s="94">
        <v>91</v>
      </c>
      <c r="B98" s="47" t="s">
        <v>105</v>
      </c>
      <c r="C98" s="95"/>
      <c r="D98" s="96"/>
      <c r="E98" s="65">
        <v>8</v>
      </c>
      <c r="F98" s="105">
        <v>39.28</v>
      </c>
      <c r="G98" s="98">
        <v>39.28</v>
      </c>
      <c r="H98" s="99">
        <f t="shared" si="5"/>
        <v>314.24</v>
      </c>
      <c r="I98" s="100">
        <v>3.55</v>
      </c>
      <c r="J98" s="100">
        <v>3.1</v>
      </c>
      <c r="K98" s="100"/>
      <c r="L98" s="100"/>
      <c r="M98" s="100">
        <f t="shared" si="6"/>
        <v>6.65</v>
      </c>
      <c r="N98" s="101">
        <f t="shared" si="7"/>
        <v>2089.696</v>
      </c>
      <c r="O98" s="48" t="s">
        <v>178</v>
      </c>
      <c r="P98" s="48" t="s">
        <v>179</v>
      </c>
      <c r="Q98" s="48" t="s">
        <v>78</v>
      </c>
      <c r="R98" s="102" t="s">
        <v>79</v>
      </c>
      <c r="S98" s="103">
        <f t="shared" si="8"/>
        <v>314.24</v>
      </c>
      <c r="T98" s="104">
        <f t="shared" si="9"/>
        <v>0</v>
      </c>
    </row>
    <row r="99" ht="18.95" customHeight="1" spans="1:20">
      <c r="A99" s="94">
        <v>92</v>
      </c>
      <c r="B99" s="47" t="s">
        <v>105</v>
      </c>
      <c r="C99" s="95"/>
      <c r="D99" s="96"/>
      <c r="E99" s="65">
        <v>16</v>
      </c>
      <c r="F99" s="105">
        <v>11.054</v>
      </c>
      <c r="G99" s="98">
        <v>11.054</v>
      </c>
      <c r="H99" s="99">
        <f t="shared" si="5"/>
        <v>176.864</v>
      </c>
      <c r="I99" s="100">
        <v>3.55</v>
      </c>
      <c r="J99" s="100">
        <v>3.1</v>
      </c>
      <c r="K99" s="100"/>
      <c r="L99" s="100"/>
      <c r="M99" s="100">
        <f t="shared" si="6"/>
        <v>6.65</v>
      </c>
      <c r="N99" s="101">
        <f t="shared" si="7"/>
        <v>1176.1456</v>
      </c>
      <c r="O99" s="48" t="s">
        <v>180</v>
      </c>
      <c r="P99" s="48" t="s">
        <v>179</v>
      </c>
      <c r="Q99" s="48" t="s">
        <v>78</v>
      </c>
      <c r="R99" s="102" t="s">
        <v>79</v>
      </c>
      <c r="S99" s="103">
        <f t="shared" si="8"/>
        <v>176.864</v>
      </c>
      <c r="T99" s="104">
        <f t="shared" si="9"/>
        <v>0</v>
      </c>
    </row>
    <row r="100" ht="18.95" customHeight="1" spans="1:20">
      <c r="A100" s="94">
        <v>93</v>
      </c>
      <c r="B100" s="47" t="s">
        <v>105</v>
      </c>
      <c r="C100" s="95"/>
      <c r="D100" s="96"/>
      <c r="E100" s="65">
        <v>3</v>
      </c>
      <c r="F100" s="105">
        <v>6.634</v>
      </c>
      <c r="G100" s="98">
        <v>6.634</v>
      </c>
      <c r="H100" s="99">
        <f t="shared" si="5"/>
        <v>19.902</v>
      </c>
      <c r="I100" s="100">
        <v>3.55</v>
      </c>
      <c r="J100" s="100">
        <v>3.1</v>
      </c>
      <c r="K100" s="100"/>
      <c r="L100" s="100"/>
      <c r="M100" s="100">
        <f t="shared" si="6"/>
        <v>6.65</v>
      </c>
      <c r="N100" s="101">
        <f t="shared" si="7"/>
        <v>132.3483</v>
      </c>
      <c r="O100" s="48" t="s">
        <v>181</v>
      </c>
      <c r="P100" s="48" t="s">
        <v>179</v>
      </c>
      <c r="Q100" s="48" t="s">
        <v>78</v>
      </c>
      <c r="R100" s="102" t="s">
        <v>79</v>
      </c>
      <c r="S100" s="103">
        <f t="shared" si="8"/>
        <v>19.902</v>
      </c>
      <c r="T100" s="104">
        <f t="shared" si="9"/>
        <v>0</v>
      </c>
    </row>
    <row r="101" ht="18.95" customHeight="1" spans="1:20">
      <c r="A101" s="94">
        <v>94</v>
      </c>
      <c r="B101" s="47" t="s">
        <v>105</v>
      </c>
      <c r="C101" s="95"/>
      <c r="D101" s="96"/>
      <c r="E101" s="65">
        <v>9</v>
      </c>
      <c r="F101" s="105">
        <v>47.871</v>
      </c>
      <c r="G101" s="98">
        <v>47.871</v>
      </c>
      <c r="H101" s="99">
        <f t="shared" si="5"/>
        <v>430.839</v>
      </c>
      <c r="I101" s="100">
        <v>3.55</v>
      </c>
      <c r="J101" s="100">
        <v>3.1</v>
      </c>
      <c r="K101" s="100"/>
      <c r="L101" s="100"/>
      <c r="M101" s="100">
        <f t="shared" si="6"/>
        <v>6.65</v>
      </c>
      <c r="N101" s="101">
        <f t="shared" si="7"/>
        <v>2865.07935</v>
      </c>
      <c r="O101" s="48" t="s">
        <v>182</v>
      </c>
      <c r="P101" s="48" t="s">
        <v>179</v>
      </c>
      <c r="Q101" s="48" t="s">
        <v>78</v>
      </c>
      <c r="R101" s="102" t="s">
        <v>79</v>
      </c>
      <c r="S101" s="103">
        <f t="shared" si="8"/>
        <v>430.839</v>
      </c>
      <c r="T101" s="104">
        <f t="shared" si="9"/>
        <v>0</v>
      </c>
    </row>
    <row r="102" ht="18.95" customHeight="1" spans="1:20">
      <c r="A102" s="94">
        <v>95</v>
      </c>
      <c r="B102" s="47" t="s">
        <v>105</v>
      </c>
      <c r="C102" s="95"/>
      <c r="D102" s="96"/>
      <c r="E102" s="65">
        <v>9</v>
      </c>
      <c r="F102" s="105">
        <v>26.26</v>
      </c>
      <c r="G102" s="98">
        <v>26.26</v>
      </c>
      <c r="H102" s="99">
        <f t="shared" si="5"/>
        <v>236.34</v>
      </c>
      <c r="I102" s="100">
        <v>3.55</v>
      </c>
      <c r="J102" s="100">
        <v>3.1</v>
      </c>
      <c r="K102" s="100"/>
      <c r="L102" s="100"/>
      <c r="M102" s="100">
        <f t="shared" si="6"/>
        <v>6.65</v>
      </c>
      <c r="N102" s="101">
        <f t="shared" si="7"/>
        <v>1571.661</v>
      </c>
      <c r="O102" s="48" t="s">
        <v>183</v>
      </c>
      <c r="P102" s="48" t="s">
        <v>179</v>
      </c>
      <c r="Q102" s="48" t="s">
        <v>78</v>
      </c>
      <c r="R102" s="102" t="s">
        <v>79</v>
      </c>
      <c r="S102" s="103">
        <f t="shared" si="8"/>
        <v>236.34</v>
      </c>
      <c r="T102" s="104">
        <f t="shared" si="9"/>
        <v>0</v>
      </c>
    </row>
    <row r="103" ht="18.95" customHeight="1" spans="1:20">
      <c r="A103" s="94">
        <v>96</v>
      </c>
      <c r="B103" s="47" t="s">
        <v>105</v>
      </c>
      <c r="C103" s="95"/>
      <c r="D103" s="96"/>
      <c r="E103" s="65">
        <v>1</v>
      </c>
      <c r="F103" s="105">
        <v>9.765</v>
      </c>
      <c r="G103" s="98">
        <v>9.765</v>
      </c>
      <c r="H103" s="99">
        <f t="shared" si="5"/>
        <v>9.765</v>
      </c>
      <c r="I103" s="100">
        <v>3.55</v>
      </c>
      <c r="J103" s="100">
        <v>3.1</v>
      </c>
      <c r="K103" s="100"/>
      <c r="L103" s="100"/>
      <c r="M103" s="100">
        <f t="shared" si="6"/>
        <v>6.65</v>
      </c>
      <c r="N103" s="101">
        <f t="shared" si="7"/>
        <v>64.93725</v>
      </c>
      <c r="O103" s="48" t="s">
        <v>184</v>
      </c>
      <c r="P103" s="48" t="s">
        <v>179</v>
      </c>
      <c r="Q103" s="48" t="s">
        <v>78</v>
      </c>
      <c r="R103" s="102" t="s">
        <v>79</v>
      </c>
      <c r="S103" s="103">
        <f t="shared" si="8"/>
        <v>9.765</v>
      </c>
      <c r="T103" s="104">
        <f t="shared" si="9"/>
        <v>0</v>
      </c>
    </row>
    <row r="104" ht="18.95" customHeight="1" spans="1:20">
      <c r="A104" s="94">
        <v>97</v>
      </c>
      <c r="B104" s="47" t="s">
        <v>105</v>
      </c>
      <c r="C104" s="95"/>
      <c r="D104" s="96"/>
      <c r="E104" s="65">
        <v>2</v>
      </c>
      <c r="F104" s="105">
        <v>11.426</v>
      </c>
      <c r="G104" s="98">
        <v>11.426</v>
      </c>
      <c r="H104" s="99">
        <f t="shared" si="5"/>
        <v>22.852</v>
      </c>
      <c r="I104" s="100">
        <v>3.55</v>
      </c>
      <c r="J104" s="100">
        <v>3.1</v>
      </c>
      <c r="K104" s="100"/>
      <c r="L104" s="100"/>
      <c r="M104" s="100">
        <f t="shared" si="6"/>
        <v>6.65</v>
      </c>
      <c r="N104" s="101">
        <f t="shared" si="7"/>
        <v>151.9658</v>
      </c>
      <c r="O104" s="48" t="s">
        <v>185</v>
      </c>
      <c r="P104" s="48" t="s">
        <v>179</v>
      </c>
      <c r="Q104" s="48" t="s">
        <v>78</v>
      </c>
      <c r="R104" s="102" t="s">
        <v>79</v>
      </c>
      <c r="S104" s="103">
        <f t="shared" si="8"/>
        <v>22.852</v>
      </c>
      <c r="T104" s="104">
        <f t="shared" si="9"/>
        <v>0</v>
      </c>
    </row>
    <row r="105" ht="18.95" customHeight="1" spans="1:20">
      <c r="A105" s="94">
        <v>98</v>
      </c>
      <c r="B105" s="47" t="s">
        <v>105</v>
      </c>
      <c r="C105" s="95"/>
      <c r="D105" s="96"/>
      <c r="E105" s="65">
        <v>1</v>
      </c>
      <c r="F105" s="105">
        <v>10.682</v>
      </c>
      <c r="G105" s="98">
        <v>10.682</v>
      </c>
      <c r="H105" s="99">
        <f t="shared" si="5"/>
        <v>10.682</v>
      </c>
      <c r="I105" s="100">
        <v>3.55</v>
      </c>
      <c r="J105" s="100">
        <v>3.1</v>
      </c>
      <c r="K105" s="100"/>
      <c r="L105" s="100"/>
      <c r="M105" s="100">
        <f t="shared" si="6"/>
        <v>6.65</v>
      </c>
      <c r="N105" s="101">
        <f t="shared" si="7"/>
        <v>71.0353</v>
      </c>
      <c r="O105" s="48" t="s">
        <v>186</v>
      </c>
      <c r="P105" s="48" t="s">
        <v>179</v>
      </c>
      <c r="Q105" s="48" t="s">
        <v>78</v>
      </c>
      <c r="R105" s="102" t="s">
        <v>79</v>
      </c>
      <c r="S105" s="103">
        <f t="shared" si="8"/>
        <v>10.682</v>
      </c>
      <c r="T105" s="104">
        <f t="shared" si="9"/>
        <v>0</v>
      </c>
    </row>
    <row r="106" ht="18.95" customHeight="1" spans="1:20">
      <c r="A106" s="94">
        <v>99</v>
      </c>
      <c r="B106" s="47" t="s">
        <v>105</v>
      </c>
      <c r="C106" s="95"/>
      <c r="D106" s="96"/>
      <c r="E106" s="65">
        <v>1</v>
      </c>
      <c r="F106" s="105">
        <v>12.81</v>
      </c>
      <c r="G106" s="98">
        <v>12.81</v>
      </c>
      <c r="H106" s="99">
        <f t="shared" si="5"/>
        <v>12.81</v>
      </c>
      <c r="I106" s="100">
        <v>3.55</v>
      </c>
      <c r="J106" s="100">
        <v>3.1</v>
      </c>
      <c r="K106" s="100"/>
      <c r="L106" s="100"/>
      <c r="M106" s="100">
        <f t="shared" si="6"/>
        <v>6.65</v>
      </c>
      <c r="N106" s="101">
        <f t="shared" si="7"/>
        <v>85.1865</v>
      </c>
      <c r="O106" s="48" t="s">
        <v>187</v>
      </c>
      <c r="P106" s="48" t="s">
        <v>179</v>
      </c>
      <c r="Q106" s="48" t="s">
        <v>78</v>
      </c>
      <c r="R106" s="102" t="s">
        <v>79</v>
      </c>
      <c r="S106" s="103">
        <f t="shared" si="8"/>
        <v>12.81</v>
      </c>
      <c r="T106" s="104">
        <f t="shared" si="9"/>
        <v>0</v>
      </c>
    </row>
    <row r="107" ht="18.95" customHeight="1" spans="1:20">
      <c r="A107" s="94">
        <v>100</v>
      </c>
      <c r="B107" s="47" t="s">
        <v>105</v>
      </c>
      <c r="C107" s="95"/>
      <c r="D107" s="96"/>
      <c r="E107" s="65">
        <v>8</v>
      </c>
      <c r="F107" s="105">
        <v>13.851</v>
      </c>
      <c r="G107" s="98">
        <v>13.851</v>
      </c>
      <c r="H107" s="99">
        <f t="shared" si="5"/>
        <v>110.808</v>
      </c>
      <c r="I107" s="100">
        <v>3.55</v>
      </c>
      <c r="J107" s="100">
        <v>3.1</v>
      </c>
      <c r="K107" s="100"/>
      <c r="L107" s="100"/>
      <c r="M107" s="100">
        <f t="shared" si="6"/>
        <v>6.65</v>
      </c>
      <c r="N107" s="101">
        <f t="shared" si="7"/>
        <v>736.8732</v>
      </c>
      <c r="O107" s="48" t="s">
        <v>188</v>
      </c>
      <c r="P107" s="48" t="s">
        <v>179</v>
      </c>
      <c r="Q107" s="48" t="s">
        <v>78</v>
      </c>
      <c r="R107" s="102" t="s">
        <v>79</v>
      </c>
      <c r="S107" s="103">
        <f t="shared" si="8"/>
        <v>110.808</v>
      </c>
      <c r="T107" s="104">
        <f t="shared" si="9"/>
        <v>0</v>
      </c>
    </row>
    <row r="108" ht="18.95" customHeight="1" spans="1:20">
      <c r="A108" s="94">
        <v>101</v>
      </c>
      <c r="B108" s="47" t="s">
        <v>105</v>
      </c>
      <c r="C108" s="95"/>
      <c r="D108" s="96"/>
      <c r="E108" s="65">
        <v>2</v>
      </c>
      <c r="F108" s="105">
        <v>57.274</v>
      </c>
      <c r="G108" s="98">
        <v>57.274</v>
      </c>
      <c r="H108" s="99">
        <f t="shared" si="5"/>
        <v>114.548</v>
      </c>
      <c r="I108" s="100">
        <v>3.55</v>
      </c>
      <c r="J108" s="100">
        <v>3.1</v>
      </c>
      <c r="K108" s="100"/>
      <c r="L108" s="100"/>
      <c r="M108" s="100">
        <f t="shared" si="6"/>
        <v>6.65</v>
      </c>
      <c r="N108" s="101">
        <f t="shared" si="7"/>
        <v>761.7442</v>
      </c>
      <c r="O108" s="48" t="s">
        <v>189</v>
      </c>
      <c r="P108" s="48" t="s">
        <v>179</v>
      </c>
      <c r="Q108" s="48" t="s">
        <v>78</v>
      </c>
      <c r="R108" s="102" t="s">
        <v>79</v>
      </c>
      <c r="S108" s="103">
        <f t="shared" si="8"/>
        <v>114.548</v>
      </c>
      <c r="T108" s="104">
        <f t="shared" si="9"/>
        <v>0</v>
      </c>
    </row>
    <row r="109" ht="18.95" customHeight="1" spans="1:20">
      <c r="A109" s="94">
        <v>102</v>
      </c>
      <c r="B109" s="47" t="s">
        <v>105</v>
      </c>
      <c r="C109" s="95"/>
      <c r="D109" s="96"/>
      <c r="E109" s="65">
        <v>1</v>
      </c>
      <c r="F109" s="105">
        <v>16.243</v>
      </c>
      <c r="G109" s="98">
        <v>16.243</v>
      </c>
      <c r="H109" s="99">
        <f t="shared" si="5"/>
        <v>16.243</v>
      </c>
      <c r="I109" s="100">
        <v>3.55</v>
      </c>
      <c r="J109" s="100">
        <v>4.6</v>
      </c>
      <c r="K109" s="100"/>
      <c r="L109" s="100"/>
      <c r="M109" s="100">
        <f t="shared" si="6"/>
        <v>8.15</v>
      </c>
      <c r="N109" s="101">
        <f t="shared" si="7"/>
        <v>132.38045</v>
      </c>
      <c r="O109" s="48" t="s">
        <v>190</v>
      </c>
      <c r="P109" s="48" t="s">
        <v>191</v>
      </c>
      <c r="Q109" s="48" t="s">
        <v>78</v>
      </c>
      <c r="R109" s="102" t="s">
        <v>79</v>
      </c>
      <c r="S109" s="103">
        <f t="shared" si="8"/>
        <v>16.243</v>
      </c>
      <c r="T109" s="104">
        <f t="shared" si="9"/>
        <v>0</v>
      </c>
    </row>
    <row r="110" ht="18.95" customHeight="1" spans="1:20">
      <c r="A110" s="94">
        <v>103</v>
      </c>
      <c r="B110" s="47" t="s">
        <v>105</v>
      </c>
      <c r="C110" s="95"/>
      <c r="D110" s="96"/>
      <c r="E110" s="65">
        <v>1</v>
      </c>
      <c r="F110" s="105">
        <v>56.138</v>
      </c>
      <c r="G110" s="98">
        <v>56.138</v>
      </c>
      <c r="H110" s="99">
        <f t="shared" si="5"/>
        <v>56.138</v>
      </c>
      <c r="I110" s="100">
        <v>3.55</v>
      </c>
      <c r="J110" s="100">
        <v>4.6</v>
      </c>
      <c r="K110" s="100"/>
      <c r="L110" s="100"/>
      <c r="M110" s="100">
        <f t="shared" si="6"/>
        <v>8.15</v>
      </c>
      <c r="N110" s="101">
        <f t="shared" si="7"/>
        <v>457.5247</v>
      </c>
      <c r="O110" s="48" t="s">
        <v>192</v>
      </c>
      <c r="P110" s="48" t="s">
        <v>191</v>
      </c>
      <c r="Q110" s="48" t="s">
        <v>78</v>
      </c>
      <c r="R110" s="102" t="s">
        <v>79</v>
      </c>
      <c r="S110" s="103">
        <f t="shared" si="8"/>
        <v>56.138</v>
      </c>
      <c r="T110" s="104">
        <f t="shared" si="9"/>
        <v>0</v>
      </c>
    </row>
    <row r="111" ht="18.95" customHeight="1" spans="1:20">
      <c r="A111" s="94">
        <v>104</v>
      </c>
      <c r="B111" s="47" t="s">
        <v>105</v>
      </c>
      <c r="C111" s="95"/>
      <c r="D111" s="96"/>
      <c r="E111" s="65">
        <v>1</v>
      </c>
      <c r="F111" s="105">
        <v>30.795</v>
      </c>
      <c r="G111" s="98">
        <v>30.795</v>
      </c>
      <c r="H111" s="99">
        <f t="shared" si="5"/>
        <v>30.795</v>
      </c>
      <c r="I111" s="100">
        <v>3.55</v>
      </c>
      <c r="J111" s="100">
        <v>4.6</v>
      </c>
      <c r="K111" s="100"/>
      <c r="L111" s="100"/>
      <c r="M111" s="100">
        <f t="shared" si="6"/>
        <v>8.15</v>
      </c>
      <c r="N111" s="101">
        <f t="shared" si="7"/>
        <v>250.97925</v>
      </c>
      <c r="O111" s="48" t="s">
        <v>193</v>
      </c>
      <c r="P111" s="48" t="s">
        <v>191</v>
      </c>
      <c r="Q111" s="48" t="s">
        <v>78</v>
      </c>
      <c r="R111" s="102" t="s">
        <v>79</v>
      </c>
      <c r="S111" s="103">
        <f t="shared" si="8"/>
        <v>30.795</v>
      </c>
      <c r="T111" s="104">
        <f t="shared" si="9"/>
        <v>0</v>
      </c>
    </row>
    <row r="112" ht="18.95" customHeight="1" spans="1:20">
      <c r="A112" s="94">
        <v>105</v>
      </c>
      <c r="B112" s="47" t="s">
        <v>105</v>
      </c>
      <c r="C112" s="95"/>
      <c r="D112" s="96"/>
      <c r="E112" s="65">
        <v>1</v>
      </c>
      <c r="F112" s="97" t="e">
        <f>#REF!</f>
        <v>#REF!</v>
      </c>
      <c r="G112" s="98">
        <v>20.658</v>
      </c>
      <c r="H112" s="99">
        <f t="shared" si="5"/>
        <v>20.658</v>
      </c>
      <c r="I112" s="100">
        <v>3.55</v>
      </c>
      <c r="J112" s="100">
        <v>4.6</v>
      </c>
      <c r="K112" s="100"/>
      <c r="L112" s="100"/>
      <c r="M112" s="100">
        <f t="shared" si="6"/>
        <v>8.15</v>
      </c>
      <c r="N112" s="101">
        <f t="shared" si="7"/>
        <v>168.3627</v>
      </c>
      <c r="O112" s="48" t="s">
        <v>194</v>
      </c>
      <c r="P112" s="48" t="s">
        <v>194</v>
      </c>
      <c r="Q112" s="48" t="s">
        <v>78</v>
      </c>
      <c r="R112" s="102" t="s">
        <v>79</v>
      </c>
      <c r="S112" s="103" t="e">
        <f t="shared" si="8"/>
        <v>#REF!</v>
      </c>
      <c r="T112" s="104" t="e">
        <f t="shared" si="9"/>
        <v>#REF!</v>
      </c>
    </row>
    <row r="113" ht="18.95" customHeight="1" spans="1:20">
      <c r="A113" s="94">
        <v>106</v>
      </c>
      <c r="B113" s="47" t="s">
        <v>105</v>
      </c>
      <c r="C113" s="95"/>
      <c r="D113" s="96"/>
      <c r="E113" s="65">
        <v>1</v>
      </c>
      <c r="F113" s="97" t="e">
        <f>#REF!</f>
        <v>#REF!</v>
      </c>
      <c r="G113" s="98">
        <v>65.403</v>
      </c>
      <c r="H113" s="99">
        <f t="shared" si="5"/>
        <v>65.403</v>
      </c>
      <c r="I113" s="100">
        <v>3.55</v>
      </c>
      <c r="J113" s="100">
        <v>4.6</v>
      </c>
      <c r="K113" s="100"/>
      <c r="L113" s="100"/>
      <c r="M113" s="100">
        <f t="shared" si="6"/>
        <v>8.15</v>
      </c>
      <c r="N113" s="101">
        <f t="shared" si="7"/>
        <v>533.03445</v>
      </c>
      <c r="O113" s="48" t="s">
        <v>195</v>
      </c>
      <c r="P113" s="48" t="s">
        <v>195</v>
      </c>
      <c r="Q113" s="48" t="s">
        <v>78</v>
      </c>
      <c r="R113" s="102" t="s">
        <v>79</v>
      </c>
      <c r="S113" s="103" t="e">
        <f t="shared" si="8"/>
        <v>#REF!</v>
      </c>
      <c r="T113" s="104" t="e">
        <f t="shared" si="9"/>
        <v>#REF!</v>
      </c>
    </row>
    <row r="114" ht="18.95" customHeight="1" spans="1:20">
      <c r="A114" s="94">
        <v>107</v>
      </c>
      <c r="B114" s="47" t="s">
        <v>105</v>
      </c>
      <c r="C114" s="95"/>
      <c r="D114" s="96"/>
      <c r="E114" s="65">
        <v>1</v>
      </c>
      <c r="F114" s="97" t="e">
        <f>#REF!</f>
        <v>#REF!</v>
      </c>
      <c r="G114" s="98">
        <v>20.562</v>
      </c>
      <c r="H114" s="99">
        <f t="shared" si="5"/>
        <v>20.562</v>
      </c>
      <c r="I114" s="100">
        <v>3.55</v>
      </c>
      <c r="J114" s="100">
        <v>4.6</v>
      </c>
      <c r="K114" s="100"/>
      <c r="L114" s="100"/>
      <c r="M114" s="100">
        <f t="shared" si="6"/>
        <v>8.15</v>
      </c>
      <c r="N114" s="101">
        <f t="shared" si="7"/>
        <v>167.5803</v>
      </c>
      <c r="O114" s="48" t="s">
        <v>196</v>
      </c>
      <c r="P114" s="48" t="s">
        <v>196</v>
      </c>
      <c r="Q114" s="48" t="s">
        <v>78</v>
      </c>
      <c r="R114" s="102" t="s">
        <v>79</v>
      </c>
      <c r="S114" s="103" t="e">
        <f t="shared" si="8"/>
        <v>#REF!</v>
      </c>
      <c r="T114" s="104" t="e">
        <f t="shared" si="9"/>
        <v>#REF!</v>
      </c>
    </row>
    <row r="115" ht="18.95" customHeight="1" spans="1:20">
      <c r="A115" s="94">
        <v>108</v>
      </c>
      <c r="B115" s="47" t="s">
        <v>105</v>
      </c>
      <c r="C115" s="95"/>
      <c r="D115" s="96"/>
      <c r="E115" s="65">
        <v>2</v>
      </c>
      <c r="F115" s="97" t="e">
        <f>#REF!</f>
        <v>#REF!</v>
      </c>
      <c r="G115" s="98">
        <v>62.521</v>
      </c>
      <c r="H115" s="99">
        <f t="shared" si="5"/>
        <v>125.042</v>
      </c>
      <c r="I115" s="100">
        <v>3.55</v>
      </c>
      <c r="J115" s="100">
        <v>4.6</v>
      </c>
      <c r="K115" s="100"/>
      <c r="L115" s="100"/>
      <c r="M115" s="100">
        <f t="shared" si="6"/>
        <v>8.15</v>
      </c>
      <c r="N115" s="101">
        <f t="shared" si="7"/>
        <v>1019.0923</v>
      </c>
      <c r="O115" s="48" t="s">
        <v>197</v>
      </c>
      <c r="P115" s="48" t="s">
        <v>197</v>
      </c>
      <c r="Q115" s="48" t="s">
        <v>78</v>
      </c>
      <c r="R115" s="102" t="s">
        <v>79</v>
      </c>
      <c r="S115" s="103" t="e">
        <f t="shared" si="8"/>
        <v>#REF!</v>
      </c>
      <c r="T115" s="104" t="e">
        <f t="shared" si="9"/>
        <v>#REF!</v>
      </c>
    </row>
    <row r="116" ht="18.95" customHeight="1" spans="1:20">
      <c r="A116" s="94">
        <v>109</v>
      </c>
      <c r="B116" s="47" t="s">
        <v>105</v>
      </c>
      <c r="C116" s="95"/>
      <c r="D116" s="96"/>
      <c r="E116" s="65">
        <v>2</v>
      </c>
      <c r="F116" s="97" t="e">
        <f>#REF!</f>
        <v>#REF!</v>
      </c>
      <c r="G116" s="98">
        <v>58.663</v>
      </c>
      <c r="H116" s="99">
        <f t="shared" si="5"/>
        <v>117.326</v>
      </c>
      <c r="I116" s="100">
        <v>3.55</v>
      </c>
      <c r="J116" s="100">
        <v>3.7</v>
      </c>
      <c r="K116" s="100"/>
      <c r="L116" s="100"/>
      <c r="M116" s="100">
        <f t="shared" si="6"/>
        <v>7.25</v>
      </c>
      <c r="N116" s="101">
        <f t="shared" si="7"/>
        <v>850.6135</v>
      </c>
      <c r="O116" s="48" t="s">
        <v>198</v>
      </c>
      <c r="P116" s="48" t="s">
        <v>198</v>
      </c>
      <c r="Q116" s="48" t="s">
        <v>78</v>
      </c>
      <c r="R116" s="102" t="s">
        <v>79</v>
      </c>
      <c r="S116" s="103" t="e">
        <f t="shared" si="8"/>
        <v>#REF!</v>
      </c>
      <c r="T116" s="104" t="e">
        <f t="shared" si="9"/>
        <v>#REF!</v>
      </c>
    </row>
    <row r="117" ht="18.95" customHeight="1" spans="1:20">
      <c r="A117" s="94">
        <v>110</v>
      </c>
      <c r="B117" s="47" t="s">
        <v>105</v>
      </c>
      <c r="C117" s="95"/>
      <c r="D117" s="96"/>
      <c r="E117" s="65">
        <v>3</v>
      </c>
      <c r="F117" s="97" t="e">
        <f>#REF!</f>
        <v>#REF!</v>
      </c>
      <c r="G117" s="98">
        <v>62.01</v>
      </c>
      <c r="H117" s="99">
        <f t="shared" si="5"/>
        <v>186.03</v>
      </c>
      <c r="I117" s="100">
        <v>3.55</v>
      </c>
      <c r="J117" s="100">
        <v>4.6</v>
      </c>
      <c r="K117" s="100"/>
      <c r="L117" s="100"/>
      <c r="M117" s="100">
        <f t="shared" si="6"/>
        <v>8.15</v>
      </c>
      <c r="N117" s="101">
        <f t="shared" si="7"/>
        <v>1516.1445</v>
      </c>
      <c r="O117" s="48" t="s">
        <v>199</v>
      </c>
      <c r="P117" s="48" t="s">
        <v>199</v>
      </c>
      <c r="Q117" s="48" t="s">
        <v>78</v>
      </c>
      <c r="R117" s="102" t="s">
        <v>79</v>
      </c>
      <c r="S117" s="103" t="e">
        <f t="shared" si="8"/>
        <v>#REF!</v>
      </c>
      <c r="T117" s="104" t="e">
        <f t="shared" si="9"/>
        <v>#REF!</v>
      </c>
    </row>
    <row r="118" ht="18.95" customHeight="1" spans="1:20">
      <c r="A118" s="94">
        <v>111</v>
      </c>
      <c r="B118" s="47" t="s">
        <v>105</v>
      </c>
      <c r="C118" s="95"/>
      <c r="D118" s="96"/>
      <c r="E118" s="65">
        <v>1</v>
      </c>
      <c r="F118" s="97" t="e">
        <f>#REF!</f>
        <v>#REF!</v>
      </c>
      <c r="G118" s="98">
        <v>60.79</v>
      </c>
      <c r="H118" s="99">
        <f t="shared" si="5"/>
        <v>60.79</v>
      </c>
      <c r="I118" s="100">
        <v>3.55</v>
      </c>
      <c r="J118" s="100">
        <v>4.6</v>
      </c>
      <c r="K118" s="100"/>
      <c r="L118" s="100"/>
      <c r="M118" s="100">
        <f t="shared" si="6"/>
        <v>8.15</v>
      </c>
      <c r="N118" s="101">
        <f t="shared" si="7"/>
        <v>495.4385</v>
      </c>
      <c r="O118" s="48" t="s">
        <v>200</v>
      </c>
      <c r="P118" s="48" t="s">
        <v>200</v>
      </c>
      <c r="Q118" s="48" t="s">
        <v>78</v>
      </c>
      <c r="R118" s="102" t="s">
        <v>79</v>
      </c>
      <c r="S118" s="103" t="e">
        <f t="shared" si="8"/>
        <v>#REF!</v>
      </c>
      <c r="T118" s="104" t="e">
        <f t="shared" si="9"/>
        <v>#REF!</v>
      </c>
    </row>
    <row r="119" ht="18.95" customHeight="1" spans="1:20">
      <c r="A119" s="94">
        <v>112</v>
      </c>
      <c r="B119" s="47" t="s">
        <v>105</v>
      </c>
      <c r="C119" s="95"/>
      <c r="D119" s="96"/>
      <c r="E119" s="65">
        <v>2</v>
      </c>
      <c r="F119" s="97" t="e">
        <f>#REF!</f>
        <v>#REF!</v>
      </c>
      <c r="G119" s="98">
        <v>49.471</v>
      </c>
      <c r="H119" s="99">
        <f t="shared" si="5"/>
        <v>98.942</v>
      </c>
      <c r="I119" s="100">
        <v>3.55</v>
      </c>
      <c r="J119" s="100">
        <v>4.6</v>
      </c>
      <c r="K119" s="100"/>
      <c r="L119" s="100"/>
      <c r="M119" s="100">
        <f t="shared" si="6"/>
        <v>8.15</v>
      </c>
      <c r="N119" s="101">
        <f t="shared" si="7"/>
        <v>806.3773</v>
      </c>
      <c r="O119" s="48" t="s">
        <v>201</v>
      </c>
      <c r="P119" s="48" t="s">
        <v>201</v>
      </c>
      <c r="Q119" s="48" t="s">
        <v>78</v>
      </c>
      <c r="R119" s="102" t="s">
        <v>79</v>
      </c>
      <c r="S119" s="103" t="e">
        <f t="shared" si="8"/>
        <v>#REF!</v>
      </c>
      <c r="T119" s="104" t="e">
        <f t="shared" si="9"/>
        <v>#REF!</v>
      </c>
    </row>
    <row r="120" ht="18.95" customHeight="1" spans="1:20">
      <c r="A120" s="94">
        <v>113</v>
      </c>
      <c r="B120" s="47" t="s">
        <v>105</v>
      </c>
      <c r="C120" s="95"/>
      <c r="D120" s="96"/>
      <c r="E120" s="65">
        <v>1</v>
      </c>
      <c r="F120" s="97" t="e">
        <f>#REF!</f>
        <v>#REF!</v>
      </c>
      <c r="G120" s="98">
        <v>2.996</v>
      </c>
      <c r="H120" s="99">
        <f t="shared" si="5"/>
        <v>2.996</v>
      </c>
      <c r="I120" s="100">
        <v>3.55</v>
      </c>
      <c r="J120" s="100">
        <v>3.1</v>
      </c>
      <c r="K120" s="100"/>
      <c r="L120" s="100"/>
      <c r="M120" s="100">
        <f t="shared" si="6"/>
        <v>6.65</v>
      </c>
      <c r="N120" s="101">
        <f t="shared" si="7"/>
        <v>19.9234</v>
      </c>
      <c r="O120" s="48" t="s">
        <v>202</v>
      </c>
      <c r="P120" s="48" t="s">
        <v>203</v>
      </c>
      <c r="Q120" s="48" t="s">
        <v>78</v>
      </c>
      <c r="R120" s="102" t="s">
        <v>79</v>
      </c>
      <c r="S120" s="103" t="e">
        <f t="shared" si="8"/>
        <v>#REF!</v>
      </c>
      <c r="T120" s="104" t="e">
        <f t="shared" si="9"/>
        <v>#REF!</v>
      </c>
    </row>
    <row r="121" ht="18.95" customHeight="1" spans="1:20">
      <c r="A121" s="94">
        <v>114</v>
      </c>
      <c r="B121" s="47" t="s">
        <v>105</v>
      </c>
      <c r="C121" s="95"/>
      <c r="D121" s="96"/>
      <c r="E121" s="65">
        <v>5</v>
      </c>
      <c r="F121" s="97" t="e">
        <f>#REF!</f>
        <v>#REF!</v>
      </c>
      <c r="G121" s="98">
        <v>3.65</v>
      </c>
      <c r="H121" s="99">
        <f t="shared" si="5"/>
        <v>18.25</v>
      </c>
      <c r="I121" s="100">
        <v>3.55</v>
      </c>
      <c r="J121" s="100">
        <v>3.1</v>
      </c>
      <c r="K121" s="100"/>
      <c r="L121" s="100"/>
      <c r="M121" s="100">
        <f t="shared" si="6"/>
        <v>6.65</v>
      </c>
      <c r="N121" s="101">
        <f t="shared" si="7"/>
        <v>121.3625</v>
      </c>
      <c r="O121" s="48" t="s">
        <v>204</v>
      </c>
      <c r="P121" s="48" t="s">
        <v>203</v>
      </c>
      <c r="Q121" s="48" t="s">
        <v>78</v>
      </c>
      <c r="R121" s="102" t="s">
        <v>79</v>
      </c>
      <c r="S121" s="103" t="e">
        <f t="shared" si="8"/>
        <v>#REF!</v>
      </c>
      <c r="T121" s="104" t="e">
        <f t="shared" si="9"/>
        <v>#REF!</v>
      </c>
    </row>
    <row r="122" ht="18.95" customHeight="1" spans="1:20">
      <c r="A122" s="94">
        <v>115</v>
      </c>
      <c r="B122" s="47" t="s">
        <v>105</v>
      </c>
      <c r="C122" s="95"/>
      <c r="D122" s="96"/>
      <c r="E122" s="65">
        <v>6</v>
      </c>
      <c r="F122" s="97" t="e">
        <f>#REF!</f>
        <v>#REF!</v>
      </c>
      <c r="G122" s="98">
        <v>9.561</v>
      </c>
      <c r="H122" s="99">
        <f t="shared" si="5"/>
        <v>57.366</v>
      </c>
      <c r="I122" s="100">
        <v>3.55</v>
      </c>
      <c r="J122" s="100">
        <v>3.1</v>
      </c>
      <c r="K122" s="100"/>
      <c r="L122" s="100"/>
      <c r="M122" s="100">
        <f t="shared" si="6"/>
        <v>6.65</v>
      </c>
      <c r="N122" s="101">
        <f t="shared" si="7"/>
        <v>381.4839</v>
      </c>
      <c r="O122" s="48" t="s">
        <v>205</v>
      </c>
      <c r="P122" s="48" t="s">
        <v>203</v>
      </c>
      <c r="Q122" s="48" t="s">
        <v>78</v>
      </c>
      <c r="R122" s="102" t="s">
        <v>79</v>
      </c>
      <c r="S122" s="103" t="e">
        <f t="shared" si="8"/>
        <v>#REF!</v>
      </c>
      <c r="T122" s="104" t="e">
        <f t="shared" si="9"/>
        <v>#REF!</v>
      </c>
    </row>
    <row r="123" ht="18.95" customHeight="1" spans="1:20">
      <c r="A123" s="94">
        <v>116</v>
      </c>
      <c r="B123" s="47" t="s">
        <v>105</v>
      </c>
      <c r="C123" s="95"/>
      <c r="D123" s="96"/>
      <c r="E123" s="65">
        <v>1</v>
      </c>
      <c r="F123" s="97" t="e">
        <f>#REF!</f>
        <v>#REF!</v>
      </c>
      <c r="G123" s="98">
        <v>69.79</v>
      </c>
      <c r="H123" s="99">
        <f t="shared" si="5"/>
        <v>69.79</v>
      </c>
      <c r="I123" s="100">
        <v>3.55</v>
      </c>
      <c r="J123" s="100">
        <v>4.6</v>
      </c>
      <c r="K123" s="100"/>
      <c r="L123" s="100"/>
      <c r="M123" s="100">
        <f t="shared" si="6"/>
        <v>8.15</v>
      </c>
      <c r="N123" s="101">
        <f t="shared" si="7"/>
        <v>568.7885</v>
      </c>
      <c r="O123" s="48" t="s">
        <v>206</v>
      </c>
      <c r="P123" s="48" t="s">
        <v>206</v>
      </c>
      <c r="Q123" s="48" t="s">
        <v>78</v>
      </c>
      <c r="R123" s="102" t="s">
        <v>79</v>
      </c>
      <c r="S123" s="103" t="e">
        <f t="shared" si="8"/>
        <v>#REF!</v>
      </c>
      <c r="T123" s="104" t="e">
        <f t="shared" si="9"/>
        <v>#REF!</v>
      </c>
    </row>
    <row r="124" ht="18.95" customHeight="1" spans="1:20">
      <c r="A124" s="94">
        <v>117</v>
      </c>
      <c r="B124" s="47" t="s">
        <v>105</v>
      </c>
      <c r="C124" s="95"/>
      <c r="D124" s="96"/>
      <c r="E124" s="65">
        <v>1</v>
      </c>
      <c r="F124" s="97" t="e">
        <f>#REF!</f>
        <v>#REF!</v>
      </c>
      <c r="G124" s="98">
        <v>65.485</v>
      </c>
      <c r="H124" s="99">
        <f t="shared" si="5"/>
        <v>65.485</v>
      </c>
      <c r="I124" s="100">
        <v>3.55</v>
      </c>
      <c r="J124" s="100">
        <v>3.1</v>
      </c>
      <c r="K124" s="100"/>
      <c r="L124" s="100"/>
      <c r="M124" s="100">
        <f t="shared" si="6"/>
        <v>6.65</v>
      </c>
      <c r="N124" s="101">
        <f t="shared" si="7"/>
        <v>435.47525</v>
      </c>
      <c r="O124" s="48" t="s">
        <v>207</v>
      </c>
      <c r="P124" s="48" t="s">
        <v>208</v>
      </c>
      <c r="Q124" s="48" t="s">
        <v>78</v>
      </c>
      <c r="R124" s="102" t="s">
        <v>79</v>
      </c>
      <c r="S124" s="103" t="e">
        <f t="shared" si="8"/>
        <v>#REF!</v>
      </c>
      <c r="T124" s="104" t="e">
        <f t="shared" si="9"/>
        <v>#REF!</v>
      </c>
    </row>
    <row r="125" ht="18.95" customHeight="1" spans="1:20">
      <c r="A125" s="94">
        <v>118</v>
      </c>
      <c r="B125" s="47" t="s">
        <v>105</v>
      </c>
      <c r="C125" s="95"/>
      <c r="D125" s="96"/>
      <c r="E125" s="65">
        <v>1</v>
      </c>
      <c r="F125" s="97" t="e">
        <f>#REF!</f>
        <v>#REF!</v>
      </c>
      <c r="G125" s="98">
        <v>55.224</v>
      </c>
      <c r="H125" s="99">
        <f t="shared" si="5"/>
        <v>55.224</v>
      </c>
      <c r="I125" s="100">
        <v>3.55</v>
      </c>
      <c r="J125" s="100">
        <v>3.1</v>
      </c>
      <c r="K125" s="100"/>
      <c r="L125" s="100"/>
      <c r="M125" s="100">
        <f t="shared" si="6"/>
        <v>6.65</v>
      </c>
      <c r="N125" s="101">
        <f t="shared" si="7"/>
        <v>367.2396</v>
      </c>
      <c r="O125" s="48" t="s">
        <v>209</v>
      </c>
      <c r="P125" s="48" t="s">
        <v>208</v>
      </c>
      <c r="Q125" s="48" t="s">
        <v>78</v>
      </c>
      <c r="R125" s="102" t="s">
        <v>79</v>
      </c>
      <c r="S125" s="103" t="e">
        <f t="shared" si="8"/>
        <v>#REF!</v>
      </c>
      <c r="T125" s="104" t="e">
        <f t="shared" si="9"/>
        <v>#REF!</v>
      </c>
    </row>
    <row r="126" ht="18.95" customHeight="1" spans="1:20">
      <c r="A126" s="94">
        <v>119</v>
      </c>
      <c r="B126" s="47" t="s">
        <v>105</v>
      </c>
      <c r="C126" s="95"/>
      <c r="D126" s="96"/>
      <c r="E126" s="65">
        <v>4</v>
      </c>
      <c r="F126" s="97" t="e">
        <f>#REF!</f>
        <v>#REF!</v>
      </c>
      <c r="G126" s="98">
        <v>51.076</v>
      </c>
      <c r="H126" s="99">
        <f t="shared" si="5"/>
        <v>204.304</v>
      </c>
      <c r="I126" s="100">
        <v>3.55</v>
      </c>
      <c r="J126" s="100">
        <v>3.1</v>
      </c>
      <c r="K126" s="100"/>
      <c r="L126" s="100"/>
      <c r="M126" s="100">
        <f t="shared" si="6"/>
        <v>6.65</v>
      </c>
      <c r="N126" s="101">
        <f t="shared" si="7"/>
        <v>1358.6216</v>
      </c>
      <c r="O126" s="48" t="s">
        <v>210</v>
      </c>
      <c r="P126" s="48" t="s">
        <v>208</v>
      </c>
      <c r="Q126" s="48" t="s">
        <v>78</v>
      </c>
      <c r="R126" s="102" t="s">
        <v>79</v>
      </c>
      <c r="S126" s="103" t="e">
        <f t="shared" si="8"/>
        <v>#REF!</v>
      </c>
      <c r="T126" s="104" t="e">
        <f t="shared" si="9"/>
        <v>#REF!</v>
      </c>
    </row>
    <row r="127" ht="18.95" customHeight="1" spans="1:20">
      <c r="A127" s="94">
        <v>120</v>
      </c>
      <c r="B127" s="47" t="s">
        <v>105</v>
      </c>
      <c r="C127" s="95"/>
      <c r="D127" s="96"/>
      <c r="E127" s="65">
        <v>4</v>
      </c>
      <c r="F127" s="97" t="e">
        <f>#REF!</f>
        <v>#REF!</v>
      </c>
      <c r="G127" s="98">
        <v>65.014</v>
      </c>
      <c r="H127" s="99">
        <f t="shared" si="5"/>
        <v>260.056</v>
      </c>
      <c r="I127" s="100">
        <v>3.55</v>
      </c>
      <c r="J127" s="100">
        <v>4.6</v>
      </c>
      <c r="K127" s="100"/>
      <c r="L127" s="100"/>
      <c r="M127" s="100">
        <f t="shared" si="6"/>
        <v>8.15</v>
      </c>
      <c r="N127" s="101">
        <f t="shared" si="7"/>
        <v>2119.4564</v>
      </c>
      <c r="O127" s="48" t="s">
        <v>211</v>
      </c>
      <c r="P127" s="48" t="s">
        <v>211</v>
      </c>
      <c r="Q127" s="48" t="s">
        <v>78</v>
      </c>
      <c r="R127" s="102" t="s">
        <v>79</v>
      </c>
      <c r="S127" s="103" t="e">
        <f t="shared" si="8"/>
        <v>#REF!</v>
      </c>
      <c r="T127" s="104" t="e">
        <f t="shared" si="9"/>
        <v>#REF!</v>
      </c>
    </row>
    <row r="128" ht="18.95" customHeight="1" spans="1:20">
      <c r="A128" s="94">
        <v>121</v>
      </c>
      <c r="B128" s="47" t="s">
        <v>105</v>
      </c>
      <c r="C128" s="95"/>
      <c r="D128" s="96"/>
      <c r="E128" s="65">
        <v>2</v>
      </c>
      <c r="F128" s="97" t="e">
        <f>#REF!</f>
        <v>#REF!</v>
      </c>
      <c r="G128" s="98">
        <v>140.014</v>
      </c>
      <c r="H128" s="99">
        <f t="shared" si="5"/>
        <v>280.028</v>
      </c>
      <c r="I128" s="100">
        <v>3.55</v>
      </c>
      <c r="J128" s="100">
        <v>3.1</v>
      </c>
      <c r="K128" s="100"/>
      <c r="L128" s="100"/>
      <c r="M128" s="100">
        <f t="shared" si="6"/>
        <v>6.65</v>
      </c>
      <c r="N128" s="101">
        <f t="shared" si="7"/>
        <v>1862.1862</v>
      </c>
      <c r="O128" s="48" t="s">
        <v>212</v>
      </c>
      <c r="P128" s="48" t="s">
        <v>212</v>
      </c>
      <c r="Q128" s="48" t="s">
        <v>78</v>
      </c>
      <c r="R128" s="102" t="s">
        <v>79</v>
      </c>
      <c r="S128" s="103" t="e">
        <f t="shared" si="8"/>
        <v>#REF!</v>
      </c>
      <c r="T128" s="104" t="e">
        <f t="shared" si="9"/>
        <v>#REF!</v>
      </c>
    </row>
    <row r="129" ht="18.95" customHeight="1" spans="1:22">
      <c r="A129" s="94">
        <v>122</v>
      </c>
      <c r="B129" s="47" t="s">
        <v>105</v>
      </c>
      <c r="C129" s="95"/>
      <c r="D129" s="96"/>
      <c r="E129" s="65">
        <v>2</v>
      </c>
      <c r="F129" s="97" t="e">
        <f>#REF!</f>
        <v>#REF!</v>
      </c>
      <c r="G129" s="98">
        <v>60.477</v>
      </c>
      <c r="H129" s="99">
        <f t="shared" si="5"/>
        <v>120.954</v>
      </c>
      <c r="I129" s="100">
        <v>3.55</v>
      </c>
      <c r="J129" s="100">
        <v>4.6</v>
      </c>
      <c r="K129" s="100"/>
      <c r="L129" s="100"/>
      <c r="M129" s="100">
        <f t="shared" si="6"/>
        <v>8.15</v>
      </c>
      <c r="N129" s="101">
        <f t="shared" si="7"/>
        <v>985.7751</v>
      </c>
      <c r="O129" s="48" t="s">
        <v>213</v>
      </c>
      <c r="P129" s="48" t="s">
        <v>214</v>
      </c>
      <c r="Q129" s="48" t="s">
        <v>78</v>
      </c>
      <c r="R129" s="102" t="s">
        <v>79</v>
      </c>
      <c r="S129" s="103" t="e">
        <f t="shared" si="8"/>
        <v>#REF!</v>
      </c>
      <c r="T129" s="104" t="e">
        <f t="shared" si="9"/>
        <v>#REF!</v>
      </c>
      <c r="V129" s="108" t="s">
        <v>215</v>
      </c>
    </row>
    <row r="130" ht="18.95" customHeight="1" spans="1:22">
      <c r="A130" s="94">
        <v>123</v>
      </c>
      <c r="B130" s="47" t="s">
        <v>105</v>
      </c>
      <c r="C130" s="95"/>
      <c r="D130" s="96"/>
      <c r="E130" s="65">
        <v>1</v>
      </c>
      <c r="F130" s="97" t="e">
        <f>#REF!</f>
        <v>#REF!</v>
      </c>
      <c r="G130" s="98">
        <v>60.566</v>
      </c>
      <c r="H130" s="99">
        <f t="shared" si="5"/>
        <v>60.566</v>
      </c>
      <c r="I130" s="100">
        <v>3.55</v>
      </c>
      <c r="J130" s="100">
        <v>4.6</v>
      </c>
      <c r="K130" s="100"/>
      <c r="L130" s="100"/>
      <c r="M130" s="100">
        <f t="shared" si="6"/>
        <v>8.15</v>
      </c>
      <c r="N130" s="101">
        <f t="shared" si="7"/>
        <v>493.6129</v>
      </c>
      <c r="O130" s="48" t="s">
        <v>216</v>
      </c>
      <c r="P130" s="48" t="s">
        <v>214</v>
      </c>
      <c r="Q130" s="48" t="s">
        <v>78</v>
      </c>
      <c r="R130" s="102" t="s">
        <v>79</v>
      </c>
      <c r="S130" s="103" t="e">
        <f t="shared" si="8"/>
        <v>#REF!</v>
      </c>
      <c r="T130" s="104" t="e">
        <f t="shared" si="9"/>
        <v>#REF!</v>
      </c>
      <c r="V130" s="108" t="s">
        <v>215</v>
      </c>
    </row>
    <row r="131" ht="18.95" customHeight="1" spans="1:22">
      <c r="A131" s="94">
        <v>124</v>
      </c>
      <c r="B131" s="47" t="s">
        <v>105</v>
      </c>
      <c r="C131" s="95"/>
      <c r="D131" s="96"/>
      <c r="E131" s="65">
        <v>1</v>
      </c>
      <c r="F131" s="97" t="e">
        <f>#REF!</f>
        <v>#REF!</v>
      </c>
      <c r="G131" s="98">
        <v>60.977</v>
      </c>
      <c r="H131" s="99">
        <f t="shared" si="5"/>
        <v>60.977</v>
      </c>
      <c r="I131" s="100">
        <v>3.55</v>
      </c>
      <c r="J131" s="100">
        <v>4.6</v>
      </c>
      <c r="K131" s="100"/>
      <c r="L131" s="100"/>
      <c r="M131" s="100">
        <f t="shared" si="6"/>
        <v>8.15</v>
      </c>
      <c r="N131" s="101">
        <f t="shared" si="7"/>
        <v>496.96255</v>
      </c>
      <c r="O131" s="48" t="s">
        <v>217</v>
      </c>
      <c r="P131" s="48" t="s">
        <v>214</v>
      </c>
      <c r="Q131" s="48" t="s">
        <v>78</v>
      </c>
      <c r="R131" s="102" t="s">
        <v>79</v>
      </c>
      <c r="S131" s="103" t="e">
        <f t="shared" si="8"/>
        <v>#REF!</v>
      </c>
      <c r="T131" s="104" t="e">
        <f t="shared" si="9"/>
        <v>#REF!</v>
      </c>
      <c r="V131" s="108" t="s">
        <v>215</v>
      </c>
    </row>
    <row r="132" ht="18.95" customHeight="1" spans="1:22">
      <c r="A132" s="94">
        <v>125</v>
      </c>
      <c r="B132" s="47" t="s">
        <v>105</v>
      </c>
      <c r="C132" s="95"/>
      <c r="D132" s="96"/>
      <c r="E132" s="65">
        <v>2</v>
      </c>
      <c r="F132" s="97" t="e">
        <f>#REF!</f>
        <v>#REF!</v>
      </c>
      <c r="G132" s="98">
        <v>61.442</v>
      </c>
      <c r="H132" s="99">
        <f t="shared" si="5"/>
        <v>122.884</v>
      </c>
      <c r="I132" s="100">
        <v>3.55</v>
      </c>
      <c r="J132" s="100">
        <v>4.6</v>
      </c>
      <c r="K132" s="100"/>
      <c r="L132" s="100"/>
      <c r="M132" s="100">
        <f t="shared" si="6"/>
        <v>8.15</v>
      </c>
      <c r="N132" s="101">
        <f t="shared" si="7"/>
        <v>1001.5046</v>
      </c>
      <c r="O132" s="48" t="s">
        <v>218</v>
      </c>
      <c r="P132" s="48" t="s">
        <v>214</v>
      </c>
      <c r="Q132" s="48" t="s">
        <v>78</v>
      </c>
      <c r="R132" s="102" t="s">
        <v>79</v>
      </c>
      <c r="S132" s="103" t="e">
        <f t="shared" si="8"/>
        <v>#REF!</v>
      </c>
      <c r="T132" s="104" t="e">
        <f t="shared" si="9"/>
        <v>#REF!</v>
      </c>
      <c r="V132" s="108" t="s">
        <v>215</v>
      </c>
    </row>
    <row r="133" ht="18.95" customHeight="1" spans="1:22">
      <c r="A133" s="94">
        <v>126</v>
      </c>
      <c r="B133" s="47" t="s">
        <v>105</v>
      </c>
      <c r="C133" s="95"/>
      <c r="D133" s="96"/>
      <c r="E133" s="65">
        <v>1</v>
      </c>
      <c r="F133" s="97" t="e">
        <f>#REF!</f>
        <v>#REF!</v>
      </c>
      <c r="G133" s="98">
        <v>72.857</v>
      </c>
      <c r="H133" s="99">
        <f t="shared" si="5"/>
        <v>72.857</v>
      </c>
      <c r="I133" s="100">
        <v>3.55</v>
      </c>
      <c r="J133" s="100">
        <v>3.1</v>
      </c>
      <c r="K133" s="100"/>
      <c r="L133" s="100"/>
      <c r="M133" s="100">
        <f t="shared" si="6"/>
        <v>6.65</v>
      </c>
      <c r="N133" s="101">
        <f t="shared" si="7"/>
        <v>484.49905</v>
      </c>
      <c r="O133" s="48" t="s">
        <v>219</v>
      </c>
      <c r="P133" s="48" t="s">
        <v>220</v>
      </c>
      <c r="Q133" s="48" t="s">
        <v>78</v>
      </c>
      <c r="R133" s="102" t="s">
        <v>79</v>
      </c>
      <c r="S133" s="103" t="e">
        <f t="shared" si="8"/>
        <v>#REF!</v>
      </c>
      <c r="T133" s="104" t="e">
        <f t="shared" si="9"/>
        <v>#REF!</v>
      </c>
    </row>
    <row r="134" ht="18.95" customHeight="1" spans="1:22">
      <c r="A134" s="94">
        <v>127</v>
      </c>
      <c r="B134" s="47" t="s">
        <v>105</v>
      </c>
      <c r="C134" s="95"/>
      <c r="D134" s="96"/>
      <c r="E134" s="65">
        <v>1</v>
      </c>
      <c r="F134" s="97" t="e">
        <f>#REF!</f>
        <v>#REF!</v>
      </c>
      <c r="G134" s="98">
        <v>69.514</v>
      </c>
      <c r="H134" s="99">
        <f t="shared" si="5"/>
        <v>69.514</v>
      </c>
      <c r="I134" s="100">
        <v>3.55</v>
      </c>
      <c r="J134" s="100">
        <v>3.1</v>
      </c>
      <c r="K134" s="100"/>
      <c r="L134" s="100"/>
      <c r="M134" s="100">
        <f t="shared" si="6"/>
        <v>6.65</v>
      </c>
      <c r="N134" s="101">
        <f t="shared" si="7"/>
        <v>462.2681</v>
      </c>
      <c r="O134" s="48" t="s">
        <v>221</v>
      </c>
      <c r="P134" s="48" t="s">
        <v>220</v>
      </c>
      <c r="Q134" s="48" t="s">
        <v>78</v>
      </c>
      <c r="R134" s="102" t="s">
        <v>79</v>
      </c>
      <c r="S134" s="103" t="e">
        <f t="shared" si="8"/>
        <v>#REF!</v>
      </c>
      <c r="T134" s="104" t="e">
        <f t="shared" si="9"/>
        <v>#REF!</v>
      </c>
    </row>
    <row r="135" ht="18.95" customHeight="1" spans="1:22">
      <c r="A135" s="94">
        <v>128</v>
      </c>
      <c r="B135" s="47" t="s">
        <v>105</v>
      </c>
      <c r="C135" s="95"/>
      <c r="D135" s="96"/>
      <c r="E135" s="65">
        <v>1</v>
      </c>
      <c r="F135" s="97" t="e">
        <f>#REF!</f>
        <v>#REF!</v>
      </c>
      <c r="G135" s="98">
        <v>79.243</v>
      </c>
      <c r="H135" s="99">
        <f t="shared" si="5"/>
        <v>79.243</v>
      </c>
      <c r="I135" s="100">
        <v>3.55</v>
      </c>
      <c r="J135" s="100">
        <v>4.6</v>
      </c>
      <c r="K135" s="100"/>
      <c r="L135" s="100"/>
      <c r="M135" s="100">
        <f t="shared" si="6"/>
        <v>8.15</v>
      </c>
      <c r="N135" s="101">
        <f t="shared" si="7"/>
        <v>645.83045</v>
      </c>
      <c r="O135" s="48" t="s">
        <v>222</v>
      </c>
      <c r="P135" s="48" t="s">
        <v>222</v>
      </c>
      <c r="Q135" s="48" t="s">
        <v>78</v>
      </c>
      <c r="R135" s="102" t="s">
        <v>79</v>
      </c>
      <c r="S135" s="103" t="e">
        <f t="shared" si="8"/>
        <v>#REF!</v>
      </c>
      <c r="T135" s="104" t="e">
        <f t="shared" si="9"/>
        <v>#REF!</v>
      </c>
    </row>
    <row r="136" ht="18.95" customHeight="1" spans="1:22">
      <c r="A136" s="94">
        <v>129</v>
      </c>
      <c r="B136" s="47" t="s">
        <v>105</v>
      </c>
      <c r="C136" s="95"/>
      <c r="D136" s="96"/>
      <c r="E136" s="65">
        <v>1</v>
      </c>
      <c r="F136" s="97" t="e">
        <f>#REF!</f>
        <v>#REF!</v>
      </c>
      <c r="G136" s="98">
        <v>13.526</v>
      </c>
      <c r="H136" s="99">
        <f t="shared" si="5"/>
        <v>13.526</v>
      </c>
      <c r="I136" s="100">
        <v>3.55</v>
      </c>
      <c r="J136" s="100">
        <v>3.1</v>
      </c>
      <c r="K136" s="100"/>
      <c r="L136" s="100"/>
      <c r="M136" s="100">
        <f t="shared" si="6"/>
        <v>6.65</v>
      </c>
      <c r="N136" s="101">
        <f t="shared" si="7"/>
        <v>89.9479</v>
      </c>
      <c r="O136" s="48" t="s">
        <v>223</v>
      </c>
      <c r="P136" s="48" t="s">
        <v>223</v>
      </c>
      <c r="Q136" s="48" t="s">
        <v>78</v>
      </c>
      <c r="R136" s="102" t="s">
        <v>79</v>
      </c>
      <c r="S136" s="103" t="e">
        <f t="shared" si="8"/>
        <v>#REF!</v>
      </c>
      <c r="T136" s="104" t="e">
        <f t="shared" si="9"/>
        <v>#REF!</v>
      </c>
    </row>
    <row r="137" ht="18.95" customHeight="1" spans="1:22">
      <c r="A137" s="94">
        <v>130</v>
      </c>
      <c r="B137" s="47" t="s">
        <v>105</v>
      </c>
      <c r="C137" s="95"/>
      <c r="D137" s="96"/>
      <c r="E137" s="65">
        <v>1</v>
      </c>
      <c r="F137" s="97" t="e">
        <f>#REF!</f>
        <v>#REF!</v>
      </c>
      <c r="G137" s="98">
        <v>27.546</v>
      </c>
      <c r="H137" s="99">
        <f t="shared" ref="H137:H200" si="10">G137*E137</f>
        <v>27.546</v>
      </c>
      <c r="I137" s="100">
        <v>3.55</v>
      </c>
      <c r="J137" s="100">
        <v>3.1</v>
      </c>
      <c r="K137" s="100"/>
      <c r="L137" s="100"/>
      <c r="M137" s="100">
        <f t="shared" ref="M137:M195" si="11">I137+J137+K137+L137</f>
        <v>6.65</v>
      </c>
      <c r="N137" s="101">
        <f t="shared" ref="N137:N195" si="12">M137*H137</f>
        <v>183.1809</v>
      </c>
      <c r="O137" s="48" t="s">
        <v>224</v>
      </c>
      <c r="P137" s="48" t="s">
        <v>224</v>
      </c>
      <c r="Q137" s="48" t="s">
        <v>78</v>
      </c>
      <c r="R137" s="102" t="s">
        <v>79</v>
      </c>
      <c r="S137" s="103" t="e">
        <f t="shared" ref="S137:S200" si="13">E137*F137</f>
        <v>#REF!</v>
      </c>
      <c r="T137" s="104" t="e">
        <f t="shared" ref="T137:T200" si="14">F137-G137</f>
        <v>#REF!</v>
      </c>
      <c r="U137" s="106">
        <f t="shared" ref="U137:U141" si="15">E137*120</f>
        <v>120</v>
      </c>
    </row>
    <row r="138" ht="18.95" customHeight="1" spans="1:22">
      <c r="A138" s="94">
        <v>131</v>
      </c>
      <c r="B138" s="47" t="s">
        <v>105</v>
      </c>
      <c r="C138" s="95"/>
      <c r="D138" s="96"/>
      <c r="E138" s="65">
        <v>1</v>
      </c>
      <c r="F138" s="97" t="e">
        <f>#REF!</f>
        <v>#REF!</v>
      </c>
      <c r="G138" s="98">
        <v>19.514</v>
      </c>
      <c r="H138" s="99">
        <f t="shared" si="10"/>
        <v>19.514</v>
      </c>
      <c r="I138" s="100">
        <v>3.55</v>
      </c>
      <c r="J138" s="100">
        <v>3.1</v>
      </c>
      <c r="K138" s="100"/>
      <c r="L138" s="100"/>
      <c r="M138" s="100">
        <f t="shared" si="11"/>
        <v>6.65</v>
      </c>
      <c r="N138" s="101">
        <f t="shared" si="12"/>
        <v>129.7681</v>
      </c>
      <c r="O138" s="48" t="s">
        <v>225</v>
      </c>
      <c r="P138" s="48" t="s">
        <v>225</v>
      </c>
      <c r="Q138" s="48" t="s">
        <v>78</v>
      </c>
      <c r="R138" s="102" t="s">
        <v>79</v>
      </c>
      <c r="S138" s="103" t="e">
        <f t="shared" si="13"/>
        <v>#REF!</v>
      </c>
      <c r="T138" s="104" t="e">
        <f t="shared" si="14"/>
        <v>#REF!</v>
      </c>
      <c r="U138" s="106">
        <f t="shared" si="15"/>
        <v>120</v>
      </c>
    </row>
    <row r="139" ht="18.95" customHeight="1" spans="1:22">
      <c r="A139" s="94">
        <v>132</v>
      </c>
      <c r="B139" s="47" t="s">
        <v>105</v>
      </c>
      <c r="C139" s="95"/>
      <c r="D139" s="96"/>
      <c r="E139" s="65">
        <v>1</v>
      </c>
      <c r="F139" s="97" t="e">
        <f>#REF!</f>
        <v>#REF!</v>
      </c>
      <c r="G139" s="98">
        <v>30.684</v>
      </c>
      <c r="H139" s="99">
        <f t="shared" si="10"/>
        <v>30.684</v>
      </c>
      <c r="I139" s="100">
        <v>3.55</v>
      </c>
      <c r="J139" s="100">
        <v>3.1</v>
      </c>
      <c r="K139" s="100"/>
      <c r="L139" s="100"/>
      <c r="M139" s="100">
        <f t="shared" si="11"/>
        <v>6.65</v>
      </c>
      <c r="N139" s="101">
        <f t="shared" si="12"/>
        <v>204.0486</v>
      </c>
      <c r="O139" s="48" t="s">
        <v>226</v>
      </c>
      <c r="P139" s="48" t="s">
        <v>226</v>
      </c>
      <c r="Q139" s="48" t="s">
        <v>78</v>
      </c>
      <c r="R139" s="102" t="s">
        <v>79</v>
      </c>
      <c r="S139" s="103" t="e">
        <f t="shared" si="13"/>
        <v>#REF!</v>
      </c>
      <c r="T139" s="104" t="e">
        <f t="shared" si="14"/>
        <v>#REF!</v>
      </c>
      <c r="U139" s="106"/>
    </row>
    <row r="140" ht="18.95" customHeight="1" spans="1:22">
      <c r="A140" s="94">
        <v>133</v>
      </c>
      <c r="B140" s="47" t="s">
        <v>105</v>
      </c>
      <c r="C140" s="95"/>
      <c r="D140" s="96"/>
      <c r="E140" s="65">
        <v>1</v>
      </c>
      <c r="F140" s="97" t="e">
        <f>#REF!</f>
        <v>#REF!</v>
      </c>
      <c r="G140" s="98">
        <v>46.809</v>
      </c>
      <c r="H140" s="99">
        <f t="shared" si="10"/>
        <v>46.809</v>
      </c>
      <c r="I140" s="100">
        <v>3.55</v>
      </c>
      <c r="J140" s="100">
        <v>3.1</v>
      </c>
      <c r="K140" s="100"/>
      <c r="L140" s="100"/>
      <c r="M140" s="100">
        <f t="shared" si="11"/>
        <v>6.65</v>
      </c>
      <c r="N140" s="101">
        <f t="shared" si="12"/>
        <v>311.27985</v>
      </c>
      <c r="O140" s="48" t="s">
        <v>227</v>
      </c>
      <c r="P140" s="48" t="s">
        <v>227</v>
      </c>
      <c r="Q140" s="48" t="s">
        <v>78</v>
      </c>
      <c r="R140" s="102" t="s">
        <v>79</v>
      </c>
      <c r="S140" s="103" t="e">
        <f t="shared" si="13"/>
        <v>#REF!</v>
      </c>
      <c r="T140" s="104" t="e">
        <f t="shared" si="14"/>
        <v>#REF!</v>
      </c>
      <c r="U140" s="106">
        <f t="shared" si="15"/>
        <v>120</v>
      </c>
    </row>
    <row r="141" ht="18.95" customHeight="1" spans="1:22">
      <c r="A141" s="94">
        <v>134</v>
      </c>
      <c r="B141" s="47" t="s">
        <v>105</v>
      </c>
      <c r="C141" s="95"/>
      <c r="D141" s="96"/>
      <c r="E141" s="65">
        <v>1</v>
      </c>
      <c r="F141" s="97" t="e">
        <f>#REF!</f>
        <v>#REF!</v>
      </c>
      <c r="G141" s="98">
        <v>47.485</v>
      </c>
      <c r="H141" s="99">
        <f t="shared" si="10"/>
        <v>47.485</v>
      </c>
      <c r="I141" s="100">
        <v>3.55</v>
      </c>
      <c r="J141" s="100">
        <v>3.1</v>
      </c>
      <c r="K141" s="100"/>
      <c r="L141" s="100"/>
      <c r="M141" s="100">
        <f t="shared" si="11"/>
        <v>6.65</v>
      </c>
      <c r="N141" s="101">
        <f t="shared" si="12"/>
        <v>315.77525</v>
      </c>
      <c r="O141" s="48" t="s">
        <v>228</v>
      </c>
      <c r="P141" s="48" t="s">
        <v>228</v>
      </c>
      <c r="Q141" s="48" t="s">
        <v>78</v>
      </c>
      <c r="R141" s="102" t="s">
        <v>79</v>
      </c>
      <c r="S141" s="103" t="e">
        <f t="shared" si="13"/>
        <v>#REF!</v>
      </c>
      <c r="T141" s="104" t="e">
        <f t="shared" si="14"/>
        <v>#REF!</v>
      </c>
      <c r="U141" s="106">
        <f t="shared" si="15"/>
        <v>120</v>
      </c>
    </row>
    <row r="142" ht="18.95" customHeight="1" spans="1:22">
      <c r="A142" s="94">
        <v>135</v>
      </c>
      <c r="B142" s="47" t="s">
        <v>105</v>
      </c>
      <c r="C142" s="95"/>
      <c r="D142" s="96"/>
      <c r="E142" s="65">
        <v>1</v>
      </c>
      <c r="F142" s="97" t="e">
        <f>#REF!</f>
        <v>#REF!</v>
      </c>
      <c r="G142" s="98">
        <v>81.965</v>
      </c>
      <c r="H142" s="99">
        <f t="shared" si="10"/>
        <v>81.965</v>
      </c>
      <c r="I142" s="100">
        <v>3.55</v>
      </c>
      <c r="J142" s="100">
        <v>4.6</v>
      </c>
      <c r="K142" s="100"/>
      <c r="L142" s="100"/>
      <c r="M142" s="100">
        <f t="shared" si="11"/>
        <v>8.15</v>
      </c>
      <c r="N142" s="101">
        <f t="shared" si="12"/>
        <v>668.01475</v>
      </c>
      <c r="O142" s="48" t="s">
        <v>229</v>
      </c>
      <c r="P142" s="48" t="s">
        <v>229</v>
      </c>
      <c r="Q142" s="48" t="s">
        <v>78</v>
      </c>
      <c r="R142" s="102" t="s">
        <v>79</v>
      </c>
      <c r="S142" s="103" t="e">
        <f t="shared" si="13"/>
        <v>#REF!</v>
      </c>
      <c r="T142" s="104" t="e">
        <f t="shared" si="14"/>
        <v>#REF!</v>
      </c>
    </row>
    <row r="143" ht="18.95" customHeight="1" spans="1:22">
      <c r="A143" s="94">
        <v>136</v>
      </c>
      <c r="B143" s="47" t="s">
        <v>105</v>
      </c>
      <c r="C143" s="95"/>
      <c r="D143" s="96"/>
      <c r="E143" s="65">
        <v>5</v>
      </c>
      <c r="F143" s="97" t="e">
        <f>#REF!</f>
        <v>#REF!</v>
      </c>
      <c r="G143" s="98">
        <v>15.013</v>
      </c>
      <c r="H143" s="99">
        <f t="shared" si="10"/>
        <v>75.065</v>
      </c>
      <c r="I143" s="100">
        <v>3.55</v>
      </c>
      <c r="J143" s="100">
        <v>3.1</v>
      </c>
      <c r="K143" s="100"/>
      <c r="L143" s="100"/>
      <c r="M143" s="100">
        <f t="shared" si="11"/>
        <v>6.65</v>
      </c>
      <c r="N143" s="101">
        <f t="shared" si="12"/>
        <v>499.18225</v>
      </c>
      <c r="O143" s="48" t="s">
        <v>230</v>
      </c>
      <c r="P143" s="48" t="s">
        <v>231</v>
      </c>
      <c r="Q143" s="48" t="s">
        <v>78</v>
      </c>
      <c r="R143" s="102" t="s">
        <v>79</v>
      </c>
      <c r="S143" s="103" t="e">
        <f t="shared" si="13"/>
        <v>#REF!</v>
      </c>
      <c r="T143" s="104" t="e">
        <f t="shared" si="14"/>
        <v>#REF!</v>
      </c>
    </row>
    <row r="144" ht="18.95" customHeight="1" spans="1:22">
      <c r="A144" s="94">
        <v>137</v>
      </c>
      <c r="B144" s="47" t="s">
        <v>105</v>
      </c>
      <c r="C144" s="95"/>
      <c r="D144" s="96"/>
      <c r="E144" s="65">
        <v>5</v>
      </c>
      <c r="F144" s="97" t="e">
        <f>#REF!</f>
        <v>#REF!</v>
      </c>
      <c r="G144" s="98">
        <v>17.168</v>
      </c>
      <c r="H144" s="99">
        <f t="shared" si="10"/>
        <v>85.84</v>
      </c>
      <c r="I144" s="100">
        <v>3.55</v>
      </c>
      <c r="J144" s="100">
        <v>3.1</v>
      </c>
      <c r="K144" s="100"/>
      <c r="L144" s="100"/>
      <c r="M144" s="100">
        <f t="shared" si="11"/>
        <v>6.65</v>
      </c>
      <c r="N144" s="101">
        <f t="shared" si="12"/>
        <v>570.836</v>
      </c>
      <c r="O144" s="48" t="s">
        <v>232</v>
      </c>
      <c r="P144" s="48" t="s">
        <v>231</v>
      </c>
      <c r="Q144" s="48" t="s">
        <v>78</v>
      </c>
      <c r="R144" s="102" t="s">
        <v>79</v>
      </c>
      <c r="S144" s="103" t="e">
        <f t="shared" si="13"/>
        <v>#REF!</v>
      </c>
      <c r="T144" s="104" t="e">
        <f t="shared" si="14"/>
        <v>#REF!</v>
      </c>
    </row>
    <row r="145" ht="18.95" customHeight="1" spans="1:20">
      <c r="A145" s="94">
        <v>138</v>
      </c>
      <c r="B145" s="47" t="s">
        <v>105</v>
      </c>
      <c r="C145" s="95"/>
      <c r="D145" s="96"/>
      <c r="E145" s="65">
        <v>1</v>
      </c>
      <c r="F145" s="97" t="e">
        <f>#REF!</f>
        <v>#REF!</v>
      </c>
      <c r="G145" s="98">
        <v>40.956</v>
      </c>
      <c r="H145" s="99">
        <f t="shared" si="10"/>
        <v>40.956</v>
      </c>
      <c r="I145" s="100">
        <v>3.55</v>
      </c>
      <c r="J145" s="100">
        <v>3.1</v>
      </c>
      <c r="K145" s="100"/>
      <c r="L145" s="100"/>
      <c r="M145" s="100">
        <f t="shared" si="11"/>
        <v>6.65</v>
      </c>
      <c r="N145" s="101">
        <f t="shared" si="12"/>
        <v>272.3574</v>
      </c>
      <c r="O145" s="48" t="s">
        <v>233</v>
      </c>
      <c r="P145" s="48" t="s">
        <v>231</v>
      </c>
      <c r="Q145" s="48" t="s">
        <v>78</v>
      </c>
      <c r="R145" s="102" t="s">
        <v>79</v>
      </c>
      <c r="S145" s="103" t="e">
        <f t="shared" si="13"/>
        <v>#REF!</v>
      </c>
      <c r="T145" s="104" t="e">
        <f t="shared" si="14"/>
        <v>#REF!</v>
      </c>
    </row>
    <row r="146" ht="18.95" customHeight="1" spans="1:20">
      <c r="A146" s="94">
        <v>139</v>
      </c>
      <c r="B146" s="47" t="s">
        <v>105</v>
      </c>
      <c r="C146" s="95"/>
      <c r="D146" s="96"/>
      <c r="E146" s="65">
        <v>5</v>
      </c>
      <c r="F146" s="97" t="e">
        <f>#REF!</f>
        <v>#REF!</v>
      </c>
      <c r="G146" s="98">
        <v>2.826</v>
      </c>
      <c r="H146" s="99">
        <f t="shared" si="10"/>
        <v>14.13</v>
      </c>
      <c r="I146" s="100">
        <v>3.55</v>
      </c>
      <c r="J146" s="100">
        <v>3.1</v>
      </c>
      <c r="K146" s="100"/>
      <c r="L146" s="100">
        <v>0.5</v>
      </c>
      <c r="M146" s="100">
        <f t="shared" si="11"/>
        <v>7.15</v>
      </c>
      <c r="N146" s="101">
        <f t="shared" si="12"/>
        <v>101.0295</v>
      </c>
      <c r="O146" s="48" t="s">
        <v>234</v>
      </c>
      <c r="P146" s="48" t="s">
        <v>231</v>
      </c>
      <c r="Q146" s="48" t="s">
        <v>78</v>
      </c>
      <c r="R146" s="102" t="s">
        <v>79</v>
      </c>
      <c r="S146" s="103" t="e">
        <f t="shared" si="13"/>
        <v>#REF!</v>
      </c>
      <c r="T146" s="104" t="e">
        <f t="shared" si="14"/>
        <v>#REF!</v>
      </c>
    </row>
    <row r="147" ht="18.95" customHeight="1" spans="1:20">
      <c r="A147" s="94">
        <v>140</v>
      </c>
      <c r="B147" s="47" t="s">
        <v>105</v>
      </c>
      <c r="C147" s="95"/>
      <c r="D147" s="96"/>
      <c r="E147" s="65">
        <v>2</v>
      </c>
      <c r="F147" s="97" t="e">
        <f>#REF!</f>
        <v>#REF!</v>
      </c>
      <c r="G147" s="98">
        <v>2.416</v>
      </c>
      <c r="H147" s="99">
        <f t="shared" si="10"/>
        <v>4.832</v>
      </c>
      <c r="I147" s="100">
        <v>3.55</v>
      </c>
      <c r="J147" s="100">
        <v>3.1</v>
      </c>
      <c r="K147" s="100"/>
      <c r="L147" s="100">
        <v>0.5</v>
      </c>
      <c r="M147" s="100">
        <f t="shared" si="11"/>
        <v>7.15</v>
      </c>
      <c r="N147" s="101">
        <f t="shared" si="12"/>
        <v>34.5488</v>
      </c>
      <c r="O147" s="48" t="s">
        <v>235</v>
      </c>
      <c r="P147" s="48" t="s">
        <v>231</v>
      </c>
      <c r="Q147" s="48" t="s">
        <v>78</v>
      </c>
      <c r="R147" s="102" t="s">
        <v>79</v>
      </c>
      <c r="S147" s="103" t="e">
        <f t="shared" si="13"/>
        <v>#REF!</v>
      </c>
      <c r="T147" s="104" t="e">
        <f t="shared" si="14"/>
        <v>#REF!</v>
      </c>
    </row>
    <row r="148" ht="18.95" customHeight="1" spans="1:20">
      <c r="A148" s="94">
        <v>141</v>
      </c>
      <c r="B148" s="47" t="s">
        <v>105</v>
      </c>
      <c r="C148" s="95"/>
      <c r="D148" s="96"/>
      <c r="E148" s="65">
        <v>6</v>
      </c>
      <c r="F148" s="97" t="e">
        <f>#REF!</f>
        <v>#REF!</v>
      </c>
      <c r="G148" s="98">
        <v>6.691</v>
      </c>
      <c r="H148" s="99">
        <f t="shared" si="10"/>
        <v>40.146</v>
      </c>
      <c r="I148" s="100">
        <v>3.55</v>
      </c>
      <c r="J148" s="100">
        <v>3.1</v>
      </c>
      <c r="K148" s="100"/>
      <c r="L148" s="100"/>
      <c r="M148" s="100">
        <f t="shared" si="11"/>
        <v>6.65</v>
      </c>
      <c r="N148" s="101">
        <f t="shared" si="12"/>
        <v>266.9709</v>
      </c>
      <c r="O148" s="48" t="s">
        <v>236</v>
      </c>
      <c r="P148" s="48" t="s">
        <v>231</v>
      </c>
      <c r="Q148" s="48" t="s">
        <v>78</v>
      </c>
      <c r="R148" s="102" t="s">
        <v>79</v>
      </c>
      <c r="S148" s="103" t="e">
        <f t="shared" si="13"/>
        <v>#REF!</v>
      </c>
      <c r="T148" s="104" t="e">
        <f t="shared" si="14"/>
        <v>#REF!</v>
      </c>
    </row>
    <row r="149" ht="18.95" customHeight="1" spans="1:20">
      <c r="A149" s="94">
        <v>142</v>
      </c>
      <c r="B149" s="47" t="s">
        <v>105</v>
      </c>
      <c r="C149" s="95"/>
      <c r="D149" s="96"/>
      <c r="E149" s="65">
        <v>1</v>
      </c>
      <c r="F149" s="97" t="e">
        <f>#REF!</f>
        <v>#REF!</v>
      </c>
      <c r="G149" s="98">
        <v>5.631</v>
      </c>
      <c r="H149" s="99">
        <f t="shared" si="10"/>
        <v>5.631</v>
      </c>
      <c r="I149" s="100">
        <v>3.55</v>
      </c>
      <c r="J149" s="100">
        <v>3.1</v>
      </c>
      <c r="K149" s="100"/>
      <c r="L149" s="100"/>
      <c r="M149" s="100">
        <f t="shared" si="11"/>
        <v>6.65</v>
      </c>
      <c r="N149" s="101">
        <f t="shared" si="12"/>
        <v>37.44615</v>
      </c>
      <c r="O149" s="48" t="s">
        <v>237</v>
      </c>
      <c r="P149" s="48" t="s">
        <v>231</v>
      </c>
      <c r="Q149" s="48" t="s">
        <v>78</v>
      </c>
      <c r="R149" s="102" t="s">
        <v>79</v>
      </c>
      <c r="S149" s="103" t="e">
        <f t="shared" si="13"/>
        <v>#REF!</v>
      </c>
      <c r="T149" s="104" t="e">
        <f t="shared" si="14"/>
        <v>#REF!</v>
      </c>
    </row>
    <row r="150" ht="18.95" customHeight="1" spans="1:20">
      <c r="A150" s="94">
        <v>143</v>
      </c>
      <c r="B150" s="47" t="s">
        <v>105</v>
      </c>
      <c r="C150" s="95"/>
      <c r="D150" s="96"/>
      <c r="E150" s="65">
        <v>1</v>
      </c>
      <c r="F150" s="97" t="e">
        <f>#REF!</f>
        <v>#REF!</v>
      </c>
      <c r="G150" s="98">
        <v>42.39</v>
      </c>
      <c r="H150" s="99">
        <f t="shared" si="10"/>
        <v>42.39</v>
      </c>
      <c r="I150" s="100">
        <v>3.55</v>
      </c>
      <c r="J150" s="100">
        <v>3.1</v>
      </c>
      <c r="K150" s="100"/>
      <c r="L150" s="100"/>
      <c r="M150" s="100">
        <f t="shared" si="11"/>
        <v>6.65</v>
      </c>
      <c r="N150" s="101">
        <f t="shared" si="12"/>
        <v>281.8935</v>
      </c>
      <c r="O150" s="48" t="s">
        <v>238</v>
      </c>
      <c r="P150" s="48" t="s">
        <v>231</v>
      </c>
      <c r="Q150" s="48" t="s">
        <v>78</v>
      </c>
      <c r="R150" s="102" t="s">
        <v>79</v>
      </c>
      <c r="S150" s="103" t="e">
        <f t="shared" si="13"/>
        <v>#REF!</v>
      </c>
      <c r="T150" s="104" t="e">
        <f t="shared" si="14"/>
        <v>#REF!</v>
      </c>
    </row>
    <row r="151" ht="18.95" customHeight="1" spans="1:20">
      <c r="A151" s="94">
        <v>144</v>
      </c>
      <c r="B151" s="47" t="s">
        <v>105</v>
      </c>
      <c r="C151" s="95"/>
      <c r="D151" s="96"/>
      <c r="E151" s="65">
        <v>1</v>
      </c>
      <c r="F151" s="97" t="e">
        <f>#REF!</f>
        <v>#REF!</v>
      </c>
      <c r="G151" s="98">
        <v>40.603</v>
      </c>
      <c r="H151" s="99">
        <f t="shared" si="10"/>
        <v>40.603</v>
      </c>
      <c r="I151" s="100">
        <v>3.55</v>
      </c>
      <c r="J151" s="100">
        <v>3.1</v>
      </c>
      <c r="K151" s="100"/>
      <c r="L151" s="100"/>
      <c r="M151" s="100">
        <f t="shared" si="11"/>
        <v>6.65</v>
      </c>
      <c r="N151" s="101">
        <f t="shared" si="12"/>
        <v>270.00995</v>
      </c>
      <c r="O151" s="48" t="s">
        <v>239</v>
      </c>
      <c r="P151" s="48" t="s">
        <v>240</v>
      </c>
      <c r="Q151" s="48" t="s">
        <v>78</v>
      </c>
      <c r="R151" s="102" t="s">
        <v>79</v>
      </c>
      <c r="S151" s="103" t="e">
        <f t="shared" si="13"/>
        <v>#REF!</v>
      </c>
      <c r="T151" s="104" t="e">
        <f t="shared" si="14"/>
        <v>#REF!</v>
      </c>
    </row>
    <row r="152" ht="18.95" customHeight="1" spans="1:20">
      <c r="A152" s="94">
        <v>145</v>
      </c>
      <c r="B152" s="47" t="s">
        <v>105</v>
      </c>
      <c r="C152" s="95"/>
      <c r="D152" s="96"/>
      <c r="E152" s="65">
        <v>1</v>
      </c>
      <c r="F152" s="97" t="e">
        <f>#REF!</f>
        <v>#REF!</v>
      </c>
      <c r="G152" s="98">
        <v>39.048</v>
      </c>
      <c r="H152" s="99">
        <f t="shared" si="10"/>
        <v>39.048</v>
      </c>
      <c r="I152" s="100">
        <v>3.55</v>
      </c>
      <c r="J152" s="100">
        <v>3.1</v>
      </c>
      <c r="K152" s="100"/>
      <c r="L152" s="100"/>
      <c r="M152" s="100">
        <f t="shared" si="11"/>
        <v>6.65</v>
      </c>
      <c r="N152" s="101">
        <f t="shared" si="12"/>
        <v>259.6692</v>
      </c>
      <c r="O152" s="48" t="s">
        <v>241</v>
      </c>
      <c r="P152" s="48" t="s">
        <v>240</v>
      </c>
      <c r="Q152" s="48" t="s">
        <v>78</v>
      </c>
      <c r="R152" s="102" t="s">
        <v>79</v>
      </c>
      <c r="S152" s="103" t="e">
        <f t="shared" si="13"/>
        <v>#REF!</v>
      </c>
      <c r="T152" s="104" t="e">
        <f t="shared" si="14"/>
        <v>#REF!</v>
      </c>
    </row>
    <row r="153" ht="18.95" customHeight="1" spans="1:20">
      <c r="A153" s="94">
        <v>146</v>
      </c>
      <c r="B153" s="47" t="s">
        <v>105</v>
      </c>
      <c r="C153" s="95"/>
      <c r="D153" s="96"/>
      <c r="E153" s="65">
        <v>1</v>
      </c>
      <c r="F153" s="97" t="e">
        <f>#REF!</f>
        <v>#REF!</v>
      </c>
      <c r="G153" s="98">
        <v>23.647</v>
      </c>
      <c r="H153" s="99">
        <f t="shared" si="10"/>
        <v>23.647</v>
      </c>
      <c r="I153" s="100">
        <v>3.55</v>
      </c>
      <c r="J153" s="100">
        <v>3.1</v>
      </c>
      <c r="K153" s="100"/>
      <c r="L153" s="100"/>
      <c r="M153" s="100">
        <f t="shared" si="11"/>
        <v>6.65</v>
      </c>
      <c r="N153" s="101">
        <f t="shared" si="12"/>
        <v>157.25255</v>
      </c>
      <c r="O153" s="48" t="s">
        <v>242</v>
      </c>
      <c r="P153" s="48" t="s">
        <v>242</v>
      </c>
      <c r="Q153" s="48" t="s">
        <v>78</v>
      </c>
      <c r="R153" s="102" t="s">
        <v>79</v>
      </c>
      <c r="S153" s="103" t="e">
        <f t="shared" si="13"/>
        <v>#REF!</v>
      </c>
      <c r="T153" s="104" t="e">
        <f t="shared" si="14"/>
        <v>#REF!</v>
      </c>
    </row>
    <row r="154" ht="18.95" customHeight="1" spans="1:20">
      <c r="A154" s="94">
        <v>147</v>
      </c>
      <c r="B154" s="47" t="s">
        <v>105</v>
      </c>
      <c r="C154" s="95"/>
      <c r="D154" s="96"/>
      <c r="E154" s="65">
        <v>1</v>
      </c>
      <c r="F154" s="97" t="e">
        <f>#REF!</f>
        <v>#REF!</v>
      </c>
      <c r="G154" s="98">
        <v>18.496</v>
      </c>
      <c r="H154" s="99">
        <f t="shared" si="10"/>
        <v>18.496</v>
      </c>
      <c r="I154" s="100">
        <v>3.55</v>
      </c>
      <c r="J154" s="100">
        <v>3.1</v>
      </c>
      <c r="K154" s="100"/>
      <c r="L154" s="100"/>
      <c r="M154" s="100">
        <f t="shared" si="11"/>
        <v>6.65</v>
      </c>
      <c r="N154" s="101">
        <f t="shared" si="12"/>
        <v>122.9984</v>
      </c>
      <c r="O154" s="48" t="s">
        <v>243</v>
      </c>
      <c r="P154" s="48" t="s">
        <v>243</v>
      </c>
      <c r="Q154" s="48" t="s">
        <v>78</v>
      </c>
      <c r="R154" s="102" t="s">
        <v>79</v>
      </c>
      <c r="S154" s="103" t="e">
        <f t="shared" si="13"/>
        <v>#REF!</v>
      </c>
      <c r="T154" s="104" t="e">
        <f t="shared" si="14"/>
        <v>#REF!</v>
      </c>
    </row>
    <row r="155" ht="18.95" customHeight="1" spans="1:20">
      <c r="A155" s="94">
        <v>148</v>
      </c>
      <c r="B155" s="47" t="s">
        <v>105</v>
      </c>
      <c r="C155" s="95"/>
      <c r="D155" s="96"/>
      <c r="E155" s="65">
        <v>1</v>
      </c>
      <c r="F155" s="97" t="e">
        <f>#REF!</f>
        <v>#REF!</v>
      </c>
      <c r="G155" s="98">
        <v>19.676</v>
      </c>
      <c r="H155" s="99">
        <f t="shared" si="10"/>
        <v>19.676</v>
      </c>
      <c r="I155" s="100">
        <v>3.55</v>
      </c>
      <c r="J155" s="100">
        <v>3.1</v>
      </c>
      <c r="K155" s="100"/>
      <c r="L155" s="100"/>
      <c r="M155" s="100">
        <f t="shared" si="11"/>
        <v>6.65</v>
      </c>
      <c r="N155" s="101">
        <f t="shared" si="12"/>
        <v>130.8454</v>
      </c>
      <c r="O155" s="48" t="s">
        <v>244</v>
      </c>
      <c r="P155" s="48" t="s">
        <v>244</v>
      </c>
      <c r="Q155" s="48" t="s">
        <v>78</v>
      </c>
      <c r="R155" s="102" t="s">
        <v>79</v>
      </c>
      <c r="S155" s="103" t="e">
        <f t="shared" si="13"/>
        <v>#REF!</v>
      </c>
      <c r="T155" s="104" t="e">
        <f t="shared" si="14"/>
        <v>#REF!</v>
      </c>
    </row>
    <row r="156" ht="18.95" customHeight="1" spans="1:20">
      <c r="A156" s="94">
        <v>149</v>
      </c>
      <c r="B156" s="47" t="s">
        <v>105</v>
      </c>
      <c r="C156" s="95"/>
      <c r="D156" s="96"/>
      <c r="E156" s="65">
        <v>1</v>
      </c>
      <c r="F156" s="97" t="e">
        <f>#REF!</f>
        <v>#REF!</v>
      </c>
      <c r="G156" s="98">
        <v>4.133</v>
      </c>
      <c r="H156" s="99">
        <f t="shared" si="10"/>
        <v>4.133</v>
      </c>
      <c r="I156" s="100">
        <v>3.55</v>
      </c>
      <c r="J156" s="100">
        <v>3.1</v>
      </c>
      <c r="K156" s="100"/>
      <c r="L156" s="100"/>
      <c r="M156" s="100">
        <f t="shared" si="11"/>
        <v>6.65</v>
      </c>
      <c r="N156" s="101">
        <f t="shared" si="12"/>
        <v>27.48445</v>
      </c>
      <c r="O156" s="48" t="s">
        <v>245</v>
      </c>
      <c r="P156" s="48" t="s">
        <v>245</v>
      </c>
      <c r="Q156" s="48" t="s">
        <v>78</v>
      </c>
      <c r="R156" s="102" t="s">
        <v>79</v>
      </c>
      <c r="S156" s="103" t="e">
        <f t="shared" si="13"/>
        <v>#REF!</v>
      </c>
      <c r="T156" s="104" t="e">
        <f t="shared" si="14"/>
        <v>#REF!</v>
      </c>
    </row>
    <row r="157" ht="18.95" customHeight="1" spans="1:20">
      <c r="A157" s="94">
        <v>150</v>
      </c>
      <c r="B157" s="47" t="s">
        <v>105</v>
      </c>
      <c r="C157" s="95"/>
      <c r="D157" s="96"/>
      <c r="E157" s="65">
        <v>1</v>
      </c>
      <c r="F157" s="97" t="e">
        <f>#REF!</f>
        <v>#REF!</v>
      </c>
      <c r="G157" s="98">
        <v>11.043</v>
      </c>
      <c r="H157" s="99">
        <f t="shared" si="10"/>
        <v>11.043</v>
      </c>
      <c r="I157" s="100">
        <v>3.55</v>
      </c>
      <c r="J157" s="100">
        <v>3.1</v>
      </c>
      <c r="K157" s="100"/>
      <c r="L157" s="100"/>
      <c r="M157" s="100">
        <f t="shared" si="11"/>
        <v>6.65</v>
      </c>
      <c r="N157" s="101">
        <f t="shared" si="12"/>
        <v>73.43595</v>
      </c>
      <c r="O157" s="48" t="s">
        <v>246</v>
      </c>
      <c r="P157" s="48" t="s">
        <v>246</v>
      </c>
      <c r="Q157" s="48" t="s">
        <v>78</v>
      </c>
      <c r="R157" s="102" t="s">
        <v>79</v>
      </c>
      <c r="S157" s="103" t="e">
        <f t="shared" si="13"/>
        <v>#REF!</v>
      </c>
      <c r="T157" s="104" t="e">
        <f t="shared" si="14"/>
        <v>#REF!</v>
      </c>
    </row>
    <row r="158" ht="18.95" customHeight="1" spans="1:20">
      <c r="A158" s="94">
        <v>151</v>
      </c>
      <c r="B158" s="47" t="s">
        <v>105</v>
      </c>
      <c r="C158" s="95"/>
      <c r="D158" s="96"/>
      <c r="E158" s="65">
        <v>1</v>
      </c>
      <c r="F158" s="97" t="e">
        <f>#REF!</f>
        <v>#REF!</v>
      </c>
      <c r="G158" s="98">
        <v>16.179</v>
      </c>
      <c r="H158" s="99">
        <f t="shared" si="10"/>
        <v>16.179</v>
      </c>
      <c r="I158" s="100">
        <v>3.55</v>
      </c>
      <c r="J158" s="100">
        <v>3.1</v>
      </c>
      <c r="K158" s="100"/>
      <c r="L158" s="100"/>
      <c r="M158" s="100">
        <f t="shared" si="11"/>
        <v>6.65</v>
      </c>
      <c r="N158" s="101">
        <f t="shared" si="12"/>
        <v>107.59035</v>
      </c>
      <c r="O158" s="48" t="s">
        <v>247</v>
      </c>
      <c r="P158" s="48" t="s">
        <v>247</v>
      </c>
      <c r="Q158" s="48" t="s">
        <v>78</v>
      </c>
      <c r="R158" s="102" t="s">
        <v>79</v>
      </c>
      <c r="S158" s="103" t="e">
        <f t="shared" si="13"/>
        <v>#REF!</v>
      </c>
      <c r="T158" s="104" t="e">
        <f t="shared" si="14"/>
        <v>#REF!</v>
      </c>
    </row>
    <row r="159" ht="18.95" customHeight="1" spans="1:20">
      <c r="A159" s="94">
        <v>152</v>
      </c>
      <c r="B159" s="47" t="s">
        <v>105</v>
      </c>
      <c r="C159" s="95"/>
      <c r="D159" s="96"/>
      <c r="E159" s="65">
        <v>1</v>
      </c>
      <c r="F159" s="97" t="e">
        <f>#REF!</f>
        <v>#REF!</v>
      </c>
      <c r="G159" s="98">
        <v>7.637</v>
      </c>
      <c r="H159" s="99">
        <f t="shared" si="10"/>
        <v>7.637</v>
      </c>
      <c r="I159" s="100">
        <v>3.55</v>
      </c>
      <c r="J159" s="100">
        <v>3.1</v>
      </c>
      <c r="K159" s="100"/>
      <c r="L159" s="100"/>
      <c r="M159" s="100">
        <f t="shared" si="11"/>
        <v>6.65</v>
      </c>
      <c r="N159" s="101">
        <f t="shared" si="12"/>
        <v>50.78605</v>
      </c>
      <c r="O159" s="48" t="s">
        <v>248</v>
      </c>
      <c r="P159" s="48" t="s">
        <v>248</v>
      </c>
      <c r="Q159" s="48" t="s">
        <v>78</v>
      </c>
      <c r="R159" s="102" t="s">
        <v>79</v>
      </c>
      <c r="S159" s="103" t="e">
        <f t="shared" si="13"/>
        <v>#REF!</v>
      </c>
      <c r="T159" s="104" t="e">
        <f t="shared" si="14"/>
        <v>#REF!</v>
      </c>
    </row>
    <row r="160" ht="18.95" customHeight="1" spans="1:20">
      <c r="A160" s="94">
        <v>153</v>
      </c>
      <c r="B160" s="47" t="s">
        <v>105</v>
      </c>
      <c r="C160" s="95"/>
      <c r="D160" s="96"/>
      <c r="E160" s="65">
        <v>1</v>
      </c>
      <c r="F160" s="97" t="e">
        <f>#REF!</f>
        <v>#REF!</v>
      </c>
      <c r="G160" s="98">
        <v>5.094</v>
      </c>
      <c r="H160" s="99">
        <f t="shared" si="10"/>
        <v>5.094</v>
      </c>
      <c r="I160" s="100">
        <v>3.55</v>
      </c>
      <c r="J160" s="100">
        <v>3.1</v>
      </c>
      <c r="K160" s="100"/>
      <c r="L160" s="100"/>
      <c r="M160" s="100">
        <f t="shared" si="11"/>
        <v>6.65</v>
      </c>
      <c r="N160" s="101">
        <f t="shared" si="12"/>
        <v>33.8751</v>
      </c>
      <c r="O160" s="48" t="s">
        <v>249</v>
      </c>
      <c r="P160" s="48" t="s">
        <v>249</v>
      </c>
      <c r="Q160" s="48" t="s">
        <v>78</v>
      </c>
      <c r="R160" s="102" t="s">
        <v>79</v>
      </c>
      <c r="S160" s="103" t="e">
        <f t="shared" si="13"/>
        <v>#REF!</v>
      </c>
      <c r="T160" s="104" t="e">
        <f t="shared" si="14"/>
        <v>#REF!</v>
      </c>
    </row>
    <row r="161" ht="18.95" customHeight="1" spans="1:21">
      <c r="A161" s="94">
        <v>154</v>
      </c>
      <c r="B161" s="47" t="s">
        <v>105</v>
      </c>
      <c r="C161" s="95"/>
      <c r="D161" s="96"/>
      <c r="E161" s="65">
        <v>1</v>
      </c>
      <c r="F161" s="97" t="e">
        <f>#REF!</f>
        <v>#REF!</v>
      </c>
      <c r="G161" s="98">
        <v>24.719</v>
      </c>
      <c r="H161" s="99">
        <f t="shared" si="10"/>
        <v>24.719</v>
      </c>
      <c r="I161" s="100">
        <v>3.55</v>
      </c>
      <c r="J161" s="100">
        <v>3.1</v>
      </c>
      <c r="K161" s="100"/>
      <c r="L161" s="100"/>
      <c r="M161" s="100">
        <f t="shared" si="11"/>
        <v>6.65</v>
      </c>
      <c r="N161" s="101">
        <f t="shared" si="12"/>
        <v>164.38135</v>
      </c>
      <c r="O161" s="48" t="s">
        <v>250</v>
      </c>
      <c r="P161" s="48" t="s">
        <v>250</v>
      </c>
      <c r="Q161" s="48" t="s">
        <v>78</v>
      </c>
      <c r="R161" s="102" t="s">
        <v>79</v>
      </c>
      <c r="S161" s="103" t="e">
        <f t="shared" si="13"/>
        <v>#REF!</v>
      </c>
      <c r="T161" s="104" t="e">
        <f t="shared" si="14"/>
        <v>#REF!</v>
      </c>
      <c r="U161" s="106">
        <f>E160*120</f>
        <v>120</v>
      </c>
    </row>
    <row r="162" ht="18.95" customHeight="1" spans="1:21">
      <c r="A162" s="94">
        <v>155</v>
      </c>
      <c r="B162" s="47" t="s">
        <v>105</v>
      </c>
      <c r="C162" s="95"/>
      <c r="D162" s="96"/>
      <c r="E162" s="65">
        <v>1</v>
      </c>
      <c r="F162" s="97" t="e">
        <f>#REF!</f>
        <v>#REF!</v>
      </c>
      <c r="G162" s="98">
        <v>10.223</v>
      </c>
      <c r="H162" s="99">
        <f t="shared" si="10"/>
        <v>10.223</v>
      </c>
      <c r="I162" s="100">
        <v>3.55</v>
      </c>
      <c r="J162" s="100">
        <v>3.1</v>
      </c>
      <c r="K162" s="100"/>
      <c r="L162" s="100"/>
      <c r="M162" s="100">
        <f t="shared" si="11"/>
        <v>6.65</v>
      </c>
      <c r="N162" s="101">
        <f t="shared" si="12"/>
        <v>67.98295</v>
      </c>
      <c r="O162" s="48" t="s">
        <v>251</v>
      </c>
      <c r="P162" s="48" t="s">
        <v>251</v>
      </c>
      <c r="Q162" s="48" t="s">
        <v>78</v>
      </c>
      <c r="R162" s="102" t="s">
        <v>79</v>
      </c>
      <c r="S162" s="103" t="e">
        <f t="shared" si="13"/>
        <v>#REF!</v>
      </c>
      <c r="T162" s="104" t="e">
        <f t="shared" si="14"/>
        <v>#REF!</v>
      </c>
      <c r="U162" s="106">
        <f>E161*120</f>
        <v>120</v>
      </c>
    </row>
    <row r="163" ht="18.95" customHeight="1" spans="1:21">
      <c r="A163" s="94">
        <v>156</v>
      </c>
      <c r="B163" s="47" t="s">
        <v>105</v>
      </c>
      <c r="C163" s="95"/>
      <c r="D163" s="96"/>
      <c r="E163" s="65">
        <v>1</v>
      </c>
      <c r="F163" s="97" t="e">
        <f>#REF!</f>
        <v>#REF!</v>
      </c>
      <c r="G163" s="98">
        <v>27.024</v>
      </c>
      <c r="H163" s="99">
        <f t="shared" si="10"/>
        <v>27.024</v>
      </c>
      <c r="I163" s="100">
        <v>3.55</v>
      </c>
      <c r="J163" s="100">
        <v>3.1</v>
      </c>
      <c r="K163" s="100"/>
      <c r="L163" s="100"/>
      <c r="M163" s="100">
        <f t="shared" si="11"/>
        <v>6.65</v>
      </c>
      <c r="N163" s="101">
        <f t="shared" si="12"/>
        <v>179.7096</v>
      </c>
      <c r="O163" s="48" t="s">
        <v>252</v>
      </c>
      <c r="P163" s="48" t="s">
        <v>252</v>
      </c>
      <c r="Q163" s="48" t="s">
        <v>78</v>
      </c>
      <c r="R163" s="102" t="s">
        <v>79</v>
      </c>
      <c r="S163" s="103" t="e">
        <f t="shared" si="13"/>
        <v>#REF!</v>
      </c>
      <c r="T163" s="104" t="e">
        <f t="shared" si="14"/>
        <v>#REF!</v>
      </c>
      <c r="U163" s="106">
        <f>E162*120</f>
        <v>120</v>
      </c>
    </row>
    <row r="164" ht="18.95" customHeight="1" spans="1:21">
      <c r="A164" s="94">
        <v>157</v>
      </c>
      <c r="B164" s="47" t="s">
        <v>105</v>
      </c>
      <c r="C164" s="95"/>
      <c r="D164" s="96"/>
      <c r="E164" s="65">
        <v>1</v>
      </c>
      <c r="F164" s="97" t="e">
        <f>#REF!</f>
        <v>#REF!</v>
      </c>
      <c r="G164" s="98">
        <v>27.024</v>
      </c>
      <c r="H164" s="99">
        <f t="shared" si="10"/>
        <v>27.024</v>
      </c>
      <c r="I164" s="100">
        <v>3.55</v>
      </c>
      <c r="J164" s="100">
        <v>3.1</v>
      </c>
      <c r="K164" s="100"/>
      <c r="L164" s="100"/>
      <c r="M164" s="100">
        <f t="shared" si="11"/>
        <v>6.65</v>
      </c>
      <c r="N164" s="101">
        <f t="shared" si="12"/>
        <v>179.7096</v>
      </c>
      <c r="O164" s="48" t="s">
        <v>253</v>
      </c>
      <c r="P164" s="48" t="s">
        <v>253</v>
      </c>
      <c r="Q164" s="48" t="s">
        <v>78</v>
      </c>
      <c r="R164" s="102" t="s">
        <v>79</v>
      </c>
      <c r="S164" s="103" t="e">
        <f t="shared" si="13"/>
        <v>#REF!</v>
      </c>
      <c r="T164" s="104" t="e">
        <f t="shared" si="14"/>
        <v>#REF!</v>
      </c>
      <c r="U164" s="106">
        <f>E163*120</f>
        <v>120</v>
      </c>
    </row>
    <row r="165" ht="18.95" customHeight="1" spans="1:21">
      <c r="A165" s="94">
        <v>158</v>
      </c>
      <c r="B165" s="47" t="s">
        <v>254</v>
      </c>
      <c r="C165" s="95"/>
      <c r="D165" s="96"/>
      <c r="E165" s="65">
        <v>1</v>
      </c>
      <c r="F165" s="97" t="e">
        <f>#REF!</f>
        <v>#REF!</v>
      </c>
      <c r="G165" s="98">
        <v>1.004</v>
      </c>
      <c r="H165" s="99">
        <f t="shared" si="10"/>
        <v>1.004</v>
      </c>
      <c r="I165" s="100">
        <v>3.55</v>
      </c>
      <c r="J165" s="100">
        <v>3.3</v>
      </c>
      <c r="K165" s="100"/>
      <c r="L165" s="100">
        <v>0.5</v>
      </c>
      <c r="M165" s="100">
        <f t="shared" si="11"/>
        <v>7.35</v>
      </c>
      <c r="N165" s="101">
        <f t="shared" si="12"/>
        <v>7.3794</v>
      </c>
      <c r="O165" s="48" t="s">
        <v>255</v>
      </c>
      <c r="P165" s="48" t="s">
        <v>255</v>
      </c>
      <c r="Q165" s="48" t="s">
        <v>78</v>
      </c>
      <c r="R165" s="102" t="s">
        <v>79</v>
      </c>
      <c r="S165" s="103" t="e">
        <f t="shared" si="13"/>
        <v>#REF!</v>
      </c>
      <c r="T165" s="104" t="e">
        <f t="shared" si="14"/>
        <v>#REF!</v>
      </c>
    </row>
    <row r="166" ht="18.95" customHeight="1" spans="1:21">
      <c r="A166" s="94">
        <v>159</v>
      </c>
      <c r="B166" s="47" t="s">
        <v>254</v>
      </c>
      <c r="C166" s="95"/>
      <c r="D166" s="96"/>
      <c r="E166" s="65">
        <v>2</v>
      </c>
      <c r="F166" s="97" t="e">
        <f>#REF!</f>
        <v>#REF!</v>
      </c>
      <c r="G166" s="98">
        <v>1.004</v>
      </c>
      <c r="H166" s="99">
        <f t="shared" si="10"/>
        <v>2.008</v>
      </c>
      <c r="I166" s="100">
        <v>3.55</v>
      </c>
      <c r="J166" s="100">
        <v>3.3</v>
      </c>
      <c r="K166" s="100"/>
      <c r="L166" s="100">
        <v>0.5</v>
      </c>
      <c r="M166" s="100">
        <f t="shared" si="11"/>
        <v>7.35</v>
      </c>
      <c r="N166" s="101">
        <f t="shared" si="12"/>
        <v>14.7588</v>
      </c>
      <c r="O166" s="48" t="s">
        <v>256</v>
      </c>
      <c r="P166" s="48" t="s">
        <v>256</v>
      </c>
      <c r="Q166" s="48" t="s">
        <v>78</v>
      </c>
      <c r="R166" s="102" t="s">
        <v>79</v>
      </c>
      <c r="S166" s="103" t="e">
        <f t="shared" si="13"/>
        <v>#REF!</v>
      </c>
      <c r="T166" s="104" t="e">
        <f t="shared" si="14"/>
        <v>#REF!</v>
      </c>
      <c r="U166" s="106"/>
    </row>
    <row r="167" ht="18.95" customHeight="1" spans="1:21">
      <c r="A167" s="94">
        <v>160</v>
      </c>
      <c r="B167" s="47" t="s">
        <v>254</v>
      </c>
      <c r="C167" s="95"/>
      <c r="D167" s="96"/>
      <c r="E167" s="65">
        <v>1</v>
      </c>
      <c r="F167" s="97" t="e">
        <f>#REF!</f>
        <v>#REF!</v>
      </c>
      <c r="G167" s="98">
        <v>1.004</v>
      </c>
      <c r="H167" s="99">
        <f t="shared" si="10"/>
        <v>1.004</v>
      </c>
      <c r="I167" s="100">
        <v>3.55</v>
      </c>
      <c r="J167" s="100">
        <v>3.3</v>
      </c>
      <c r="K167" s="100"/>
      <c r="L167" s="100">
        <v>0.5</v>
      </c>
      <c r="M167" s="100">
        <f t="shared" si="11"/>
        <v>7.35</v>
      </c>
      <c r="N167" s="101">
        <f t="shared" si="12"/>
        <v>7.3794</v>
      </c>
      <c r="O167" s="48" t="s">
        <v>257</v>
      </c>
      <c r="P167" s="48" t="s">
        <v>257</v>
      </c>
      <c r="Q167" s="48" t="s">
        <v>78</v>
      </c>
      <c r="R167" s="102" t="s">
        <v>79</v>
      </c>
      <c r="S167" s="103" t="e">
        <f t="shared" si="13"/>
        <v>#REF!</v>
      </c>
      <c r="T167" s="104" t="e">
        <f t="shared" si="14"/>
        <v>#REF!</v>
      </c>
    </row>
    <row r="168" ht="18.95" customHeight="1" spans="1:21">
      <c r="A168" s="94">
        <v>161</v>
      </c>
      <c r="B168" s="47" t="s">
        <v>254</v>
      </c>
      <c r="C168" s="95"/>
      <c r="D168" s="96"/>
      <c r="E168" s="65">
        <v>7</v>
      </c>
      <c r="F168" s="97" t="e">
        <f>#REF!</f>
        <v>#REF!</v>
      </c>
      <c r="G168" s="98">
        <v>6.43</v>
      </c>
      <c r="H168" s="99">
        <f t="shared" si="10"/>
        <v>45.01</v>
      </c>
      <c r="I168" s="100">
        <v>3.55</v>
      </c>
      <c r="J168" s="100">
        <v>3.1</v>
      </c>
      <c r="K168" s="100"/>
      <c r="L168" s="100"/>
      <c r="M168" s="100">
        <f t="shared" si="11"/>
        <v>6.65</v>
      </c>
      <c r="N168" s="101">
        <f t="shared" si="12"/>
        <v>299.3165</v>
      </c>
      <c r="O168" s="48" t="s">
        <v>258</v>
      </c>
      <c r="P168" s="48" t="s">
        <v>259</v>
      </c>
      <c r="Q168" s="48" t="s">
        <v>78</v>
      </c>
      <c r="R168" s="102" t="s">
        <v>79</v>
      </c>
      <c r="S168" s="103" t="e">
        <f t="shared" si="13"/>
        <v>#REF!</v>
      </c>
      <c r="T168" s="104" t="e">
        <f t="shared" si="14"/>
        <v>#REF!</v>
      </c>
    </row>
    <row r="169" ht="18.95" customHeight="1" spans="1:21">
      <c r="A169" s="94">
        <v>162</v>
      </c>
      <c r="B169" s="47" t="s">
        <v>254</v>
      </c>
      <c r="C169" s="95"/>
      <c r="D169" s="96"/>
      <c r="E169" s="65">
        <v>3</v>
      </c>
      <c r="F169" s="97" t="e">
        <f>#REF!</f>
        <v>#REF!</v>
      </c>
      <c r="G169" s="98">
        <v>5.635</v>
      </c>
      <c r="H169" s="99">
        <f t="shared" si="10"/>
        <v>16.905</v>
      </c>
      <c r="I169" s="100">
        <v>3.55</v>
      </c>
      <c r="J169" s="100">
        <v>3.1</v>
      </c>
      <c r="K169" s="100"/>
      <c r="L169" s="100"/>
      <c r="M169" s="100">
        <f t="shared" si="11"/>
        <v>6.65</v>
      </c>
      <c r="N169" s="101">
        <f t="shared" si="12"/>
        <v>112.41825</v>
      </c>
      <c r="O169" s="48" t="s">
        <v>260</v>
      </c>
      <c r="P169" s="48" t="s">
        <v>259</v>
      </c>
      <c r="Q169" s="48" t="s">
        <v>78</v>
      </c>
      <c r="R169" s="102" t="s">
        <v>79</v>
      </c>
      <c r="S169" s="103" t="e">
        <f t="shared" si="13"/>
        <v>#REF!</v>
      </c>
      <c r="T169" s="104" t="e">
        <f t="shared" si="14"/>
        <v>#REF!</v>
      </c>
    </row>
    <row r="170" ht="18.95" customHeight="1" spans="1:21">
      <c r="A170" s="94">
        <v>163</v>
      </c>
      <c r="B170" s="47" t="s">
        <v>254</v>
      </c>
      <c r="C170" s="95"/>
      <c r="D170" s="96"/>
      <c r="E170" s="65">
        <v>2</v>
      </c>
      <c r="F170" s="97" t="e">
        <f>#REF!</f>
        <v>#REF!</v>
      </c>
      <c r="G170" s="98">
        <v>6.552</v>
      </c>
      <c r="H170" s="99">
        <f t="shared" si="10"/>
        <v>13.104</v>
      </c>
      <c r="I170" s="100">
        <v>3.55</v>
      </c>
      <c r="J170" s="100">
        <v>3.1</v>
      </c>
      <c r="K170" s="100"/>
      <c r="L170" s="100"/>
      <c r="M170" s="100">
        <f t="shared" si="11"/>
        <v>6.65</v>
      </c>
      <c r="N170" s="101">
        <f t="shared" si="12"/>
        <v>87.1416</v>
      </c>
      <c r="O170" s="48" t="s">
        <v>261</v>
      </c>
      <c r="P170" s="48" t="s">
        <v>259</v>
      </c>
      <c r="Q170" s="48" t="s">
        <v>78</v>
      </c>
      <c r="R170" s="102" t="s">
        <v>79</v>
      </c>
      <c r="S170" s="103" t="e">
        <f t="shared" si="13"/>
        <v>#REF!</v>
      </c>
      <c r="T170" s="104" t="e">
        <f t="shared" si="14"/>
        <v>#REF!</v>
      </c>
    </row>
    <row r="171" ht="18.95" customHeight="1" spans="1:21">
      <c r="A171" s="94">
        <v>164</v>
      </c>
      <c r="B171" s="47" t="s">
        <v>254</v>
      </c>
      <c r="C171" s="95"/>
      <c r="D171" s="96"/>
      <c r="E171" s="65">
        <v>2</v>
      </c>
      <c r="F171" s="97" t="e">
        <f>#REF!</f>
        <v>#REF!</v>
      </c>
      <c r="G171" s="98">
        <v>5.757</v>
      </c>
      <c r="H171" s="99">
        <f t="shared" si="10"/>
        <v>11.514</v>
      </c>
      <c r="I171" s="100">
        <v>3.55</v>
      </c>
      <c r="J171" s="100">
        <v>3.1</v>
      </c>
      <c r="K171" s="100"/>
      <c r="L171" s="100"/>
      <c r="M171" s="100">
        <f t="shared" si="11"/>
        <v>6.65</v>
      </c>
      <c r="N171" s="101">
        <f t="shared" si="12"/>
        <v>76.5681</v>
      </c>
      <c r="O171" s="48" t="s">
        <v>262</v>
      </c>
      <c r="P171" s="48" t="s">
        <v>259</v>
      </c>
      <c r="Q171" s="48" t="s">
        <v>78</v>
      </c>
      <c r="R171" s="102" t="s">
        <v>79</v>
      </c>
      <c r="S171" s="103" t="e">
        <f t="shared" si="13"/>
        <v>#REF!</v>
      </c>
      <c r="T171" s="104" t="e">
        <f t="shared" si="14"/>
        <v>#REF!</v>
      </c>
    </row>
    <row r="172" ht="18.95" customHeight="1" spans="1:21">
      <c r="A172" s="94">
        <v>165</v>
      </c>
      <c r="B172" s="47" t="s">
        <v>254</v>
      </c>
      <c r="C172" s="95"/>
      <c r="D172" s="96"/>
      <c r="E172" s="65">
        <v>2</v>
      </c>
      <c r="F172" s="97" t="e">
        <f>#REF!</f>
        <v>#REF!</v>
      </c>
      <c r="G172" s="98">
        <v>13.169</v>
      </c>
      <c r="H172" s="99">
        <f t="shared" si="10"/>
        <v>26.338</v>
      </c>
      <c r="I172" s="100">
        <v>3.55</v>
      </c>
      <c r="J172" s="100">
        <v>3.1</v>
      </c>
      <c r="K172" s="100"/>
      <c r="L172" s="100"/>
      <c r="M172" s="100">
        <f t="shared" si="11"/>
        <v>6.65</v>
      </c>
      <c r="N172" s="101">
        <f t="shared" si="12"/>
        <v>175.1477</v>
      </c>
      <c r="O172" s="48" t="s">
        <v>263</v>
      </c>
      <c r="P172" s="48" t="s">
        <v>259</v>
      </c>
      <c r="Q172" s="48" t="s">
        <v>78</v>
      </c>
      <c r="R172" s="102" t="s">
        <v>79</v>
      </c>
      <c r="S172" s="103" t="e">
        <f t="shared" si="13"/>
        <v>#REF!</v>
      </c>
      <c r="T172" s="104" t="e">
        <f t="shared" si="14"/>
        <v>#REF!</v>
      </c>
    </row>
    <row r="173" ht="18.95" customHeight="1" spans="1:21">
      <c r="A173" s="94">
        <v>166</v>
      </c>
      <c r="B173" s="47" t="s">
        <v>254</v>
      </c>
      <c r="C173" s="95"/>
      <c r="D173" s="96"/>
      <c r="E173" s="65">
        <v>46</v>
      </c>
      <c r="F173" s="97" t="e">
        <f>#REF!</f>
        <v>#REF!</v>
      </c>
      <c r="G173" s="98">
        <v>3.662</v>
      </c>
      <c r="H173" s="99">
        <f t="shared" si="10"/>
        <v>168.452</v>
      </c>
      <c r="I173" s="100">
        <v>3.55</v>
      </c>
      <c r="J173" s="100">
        <v>3.1</v>
      </c>
      <c r="K173" s="100"/>
      <c r="L173" s="100"/>
      <c r="M173" s="100">
        <f t="shared" si="11"/>
        <v>6.65</v>
      </c>
      <c r="N173" s="101">
        <f t="shared" si="12"/>
        <v>1120.2058</v>
      </c>
      <c r="O173" s="48" t="s">
        <v>264</v>
      </c>
      <c r="P173" s="48" t="s">
        <v>259</v>
      </c>
      <c r="Q173" s="48" t="s">
        <v>78</v>
      </c>
      <c r="R173" s="102" t="s">
        <v>79</v>
      </c>
      <c r="S173" s="103" t="e">
        <f t="shared" si="13"/>
        <v>#REF!</v>
      </c>
      <c r="T173" s="104" t="e">
        <f t="shared" si="14"/>
        <v>#REF!</v>
      </c>
    </row>
    <row r="174" ht="18.95" customHeight="1" spans="1:21">
      <c r="A174" s="94">
        <v>167</v>
      </c>
      <c r="B174" s="47" t="s">
        <v>254</v>
      </c>
      <c r="C174" s="95"/>
      <c r="D174" s="96"/>
      <c r="E174" s="65">
        <v>8</v>
      </c>
      <c r="F174" s="97" t="e">
        <f>#REF!</f>
        <v>#REF!</v>
      </c>
      <c r="G174" s="98">
        <v>2.279</v>
      </c>
      <c r="H174" s="99">
        <f t="shared" si="10"/>
        <v>18.232</v>
      </c>
      <c r="I174" s="100">
        <v>3.55</v>
      </c>
      <c r="J174" s="100">
        <v>3.1</v>
      </c>
      <c r="K174" s="100"/>
      <c r="L174" s="100">
        <v>0.5</v>
      </c>
      <c r="M174" s="100">
        <f t="shared" si="11"/>
        <v>7.15</v>
      </c>
      <c r="N174" s="101">
        <f t="shared" si="12"/>
        <v>130.3588</v>
      </c>
      <c r="O174" s="48" t="s">
        <v>265</v>
      </c>
      <c r="P174" s="48" t="s">
        <v>259</v>
      </c>
      <c r="Q174" s="48" t="s">
        <v>78</v>
      </c>
      <c r="R174" s="102" t="s">
        <v>79</v>
      </c>
      <c r="S174" s="103" t="e">
        <f t="shared" si="13"/>
        <v>#REF!</v>
      </c>
      <c r="T174" s="104" t="e">
        <f t="shared" si="14"/>
        <v>#REF!</v>
      </c>
    </row>
    <row r="175" ht="18.95" customHeight="1" spans="1:21">
      <c r="A175" s="94">
        <v>168</v>
      </c>
      <c r="B175" s="47" t="s">
        <v>254</v>
      </c>
      <c r="C175" s="95"/>
      <c r="D175" s="96"/>
      <c r="E175" s="65">
        <v>10</v>
      </c>
      <c r="F175" s="97" t="e">
        <f>#REF!</f>
        <v>#REF!</v>
      </c>
      <c r="G175" s="98">
        <v>2.986</v>
      </c>
      <c r="H175" s="99">
        <f t="shared" si="10"/>
        <v>29.86</v>
      </c>
      <c r="I175" s="100">
        <v>3.55</v>
      </c>
      <c r="J175" s="100">
        <v>3.1</v>
      </c>
      <c r="K175" s="100"/>
      <c r="L175" s="100">
        <v>0.5</v>
      </c>
      <c r="M175" s="100">
        <f t="shared" si="11"/>
        <v>7.15</v>
      </c>
      <c r="N175" s="101">
        <f t="shared" si="12"/>
        <v>213.499</v>
      </c>
      <c r="O175" s="48" t="s">
        <v>266</v>
      </c>
      <c r="P175" s="48" t="s">
        <v>259</v>
      </c>
      <c r="Q175" s="48" t="s">
        <v>78</v>
      </c>
      <c r="R175" s="102" t="s">
        <v>79</v>
      </c>
      <c r="S175" s="103" t="e">
        <f t="shared" si="13"/>
        <v>#REF!</v>
      </c>
      <c r="T175" s="104" t="e">
        <f t="shared" si="14"/>
        <v>#REF!</v>
      </c>
    </row>
    <row r="176" ht="18.95" customHeight="1" spans="1:21">
      <c r="A176" s="94">
        <v>169</v>
      </c>
      <c r="B176" s="47" t="s">
        <v>254</v>
      </c>
      <c r="C176" s="95"/>
      <c r="D176" s="96"/>
      <c r="E176" s="65">
        <v>2</v>
      </c>
      <c r="F176" s="97" t="e">
        <f>#REF!</f>
        <v>#REF!</v>
      </c>
      <c r="G176" s="98">
        <v>9.614</v>
      </c>
      <c r="H176" s="99">
        <f t="shared" si="10"/>
        <v>19.228</v>
      </c>
      <c r="I176" s="100">
        <v>3.55</v>
      </c>
      <c r="J176" s="100">
        <v>3.1</v>
      </c>
      <c r="K176" s="100"/>
      <c r="L176" s="100"/>
      <c r="M176" s="100">
        <f t="shared" si="11"/>
        <v>6.65</v>
      </c>
      <c r="N176" s="101">
        <f t="shared" si="12"/>
        <v>127.8662</v>
      </c>
      <c r="O176" s="48" t="s">
        <v>267</v>
      </c>
      <c r="P176" s="48" t="s">
        <v>259</v>
      </c>
      <c r="Q176" s="48" t="s">
        <v>78</v>
      </c>
      <c r="R176" s="102" t="s">
        <v>79</v>
      </c>
      <c r="S176" s="103" t="e">
        <f t="shared" si="13"/>
        <v>#REF!</v>
      </c>
      <c r="T176" s="104" t="e">
        <f t="shared" si="14"/>
        <v>#REF!</v>
      </c>
    </row>
    <row r="177" ht="18.95" customHeight="1" spans="1:20">
      <c r="A177" s="94">
        <v>170</v>
      </c>
      <c r="B177" s="47" t="s">
        <v>254</v>
      </c>
      <c r="C177" s="95"/>
      <c r="D177" s="96"/>
      <c r="E177" s="65">
        <v>1</v>
      </c>
      <c r="F177" s="97" t="e">
        <f>#REF!</f>
        <v>#REF!</v>
      </c>
      <c r="G177" s="98">
        <v>12.022</v>
      </c>
      <c r="H177" s="99">
        <f t="shared" si="10"/>
        <v>12.022</v>
      </c>
      <c r="I177" s="100">
        <v>3.55</v>
      </c>
      <c r="J177" s="100">
        <v>3.1</v>
      </c>
      <c r="K177" s="100"/>
      <c r="L177" s="100"/>
      <c r="M177" s="100">
        <f t="shared" si="11"/>
        <v>6.65</v>
      </c>
      <c r="N177" s="101">
        <f t="shared" si="12"/>
        <v>79.9463</v>
      </c>
      <c r="O177" s="48" t="s">
        <v>268</v>
      </c>
      <c r="P177" s="48" t="s">
        <v>259</v>
      </c>
      <c r="Q177" s="48" t="s">
        <v>78</v>
      </c>
      <c r="R177" s="102" t="s">
        <v>79</v>
      </c>
      <c r="S177" s="103" t="e">
        <f t="shared" si="13"/>
        <v>#REF!</v>
      </c>
      <c r="T177" s="104" t="e">
        <f t="shared" si="14"/>
        <v>#REF!</v>
      </c>
    </row>
    <row r="178" ht="18.95" customHeight="1" spans="1:20">
      <c r="A178" s="94">
        <v>171</v>
      </c>
      <c r="B178" s="47" t="s">
        <v>254</v>
      </c>
      <c r="C178" s="95"/>
      <c r="D178" s="96"/>
      <c r="E178" s="65">
        <v>1</v>
      </c>
      <c r="F178" s="97" t="e">
        <f>#REF!</f>
        <v>#REF!</v>
      </c>
      <c r="G178" s="98">
        <v>14.341</v>
      </c>
      <c r="H178" s="99">
        <f t="shared" si="10"/>
        <v>14.341</v>
      </c>
      <c r="I178" s="100">
        <v>3.55</v>
      </c>
      <c r="J178" s="100">
        <v>3.1</v>
      </c>
      <c r="K178" s="100"/>
      <c r="L178" s="100"/>
      <c r="M178" s="100">
        <f t="shared" si="11"/>
        <v>6.65</v>
      </c>
      <c r="N178" s="101">
        <f t="shared" si="12"/>
        <v>95.36765</v>
      </c>
      <c r="O178" s="48" t="s">
        <v>269</v>
      </c>
      <c r="P178" s="48" t="s">
        <v>259</v>
      </c>
      <c r="Q178" s="48" t="s">
        <v>78</v>
      </c>
      <c r="R178" s="102" t="s">
        <v>79</v>
      </c>
      <c r="S178" s="103" t="e">
        <f t="shared" si="13"/>
        <v>#REF!</v>
      </c>
      <c r="T178" s="104" t="e">
        <f t="shared" si="14"/>
        <v>#REF!</v>
      </c>
    </row>
    <row r="179" ht="18.95" customHeight="1" spans="1:20">
      <c r="A179" s="94">
        <v>172</v>
      </c>
      <c r="B179" s="47" t="s">
        <v>254</v>
      </c>
      <c r="C179" s="95"/>
      <c r="D179" s="96"/>
      <c r="E179" s="65">
        <v>3</v>
      </c>
      <c r="F179" s="97" t="e">
        <f>#REF!</f>
        <v>#REF!</v>
      </c>
      <c r="G179" s="98">
        <v>3.417</v>
      </c>
      <c r="H179" s="99">
        <f t="shared" si="10"/>
        <v>10.251</v>
      </c>
      <c r="I179" s="100">
        <v>3.55</v>
      </c>
      <c r="J179" s="100">
        <v>3.1</v>
      </c>
      <c r="K179" s="100"/>
      <c r="L179" s="100"/>
      <c r="M179" s="100">
        <f t="shared" si="11"/>
        <v>6.65</v>
      </c>
      <c r="N179" s="101">
        <f t="shared" si="12"/>
        <v>68.16915</v>
      </c>
      <c r="O179" s="48" t="s">
        <v>270</v>
      </c>
      <c r="P179" s="48" t="s">
        <v>259</v>
      </c>
      <c r="Q179" s="48" t="s">
        <v>78</v>
      </c>
      <c r="R179" s="102" t="s">
        <v>79</v>
      </c>
      <c r="S179" s="103" t="e">
        <f t="shared" si="13"/>
        <v>#REF!</v>
      </c>
      <c r="T179" s="104" t="e">
        <f t="shared" si="14"/>
        <v>#REF!</v>
      </c>
    </row>
    <row r="180" ht="18.95" customHeight="1" spans="1:20">
      <c r="A180" s="94">
        <v>173</v>
      </c>
      <c r="B180" s="47" t="s">
        <v>254</v>
      </c>
      <c r="C180" s="95"/>
      <c r="D180" s="96"/>
      <c r="E180" s="65">
        <v>1</v>
      </c>
      <c r="F180" s="97" t="e">
        <f>#REF!</f>
        <v>#REF!</v>
      </c>
      <c r="G180" s="98">
        <v>2.57</v>
      </c>
      <c r="H180" s="99">
        <f t="shared" si="10"/>
        <v>2.57</v>
      </c>
      <c r="I180" s="100">
        <v>3.55</v>
      </c>
      <c r="J180" s="100">
        <v>3.1</v>
      </c>
      <c r="K180" s="100"/>
      <c r="L180" s="100">
        <v>0.5</v>
      </c>
      <c r="M180" s="100">
        <f t="shared" si="11"/>
        <v>7.15</v>
      </c>
      <c r="N180" s="101">
        <f t="shared" si="12"/>
        <v>18.3755</v>
      </c>
      <c r="O180" s="48" t="s">
        <v>271</v>
      </c>
      <c r="P180" s="48" t="s">
        <v>259</v>
      </c>
      <c r="Q180" s="48" t="s">
        <v>78</v>
      </c>
      <c r="R180" s="102" t="s">
        <v>79</v>
      </c>
      <c r="S180" s="103" t="e">
        <f t="shared" si="13"/>
        <v>#REF!</v>
      </c>
      <c r="T180" s="104" t="e">
        <f t="shared" si="14"/>
        <v>#REF!</v>
      </c>
    </row>
    <row r="181" ht="18.95" customHeight="1" spans="1:20">
      <c r="A181" s="94">
        <v>174</v>
      </c>
      <c r="B181" s="47" t="s">
        <v>254</v>
      </c>
      <c r="C181" s="95"/>
      <c r="D181" s="96"/>
      <c r="E181" s="65">
        <v>1</v>
      </c>
      <c r="F181" s="97" t="e">
        <f>#REF!</f>
        <v>#REF!</v>
      </c>
      <c r="G181" s="98">
        <v>6.846</v>
      </c>
      <c r="H181" s="99">
        <f t="shared" si="10"/>
        <v>6.846</v>
      </c>
      <c r="I181" s="100">
        <v>3.55</v>
      </c>
      <c r="J181" s="100">
        <v>3.1</v>
      </c>
      <c r="K181" s="100"/>
      <c r="L181" s="100"/>
      <c r="M181" s="100">
        <f t="shared" si="11"/>
        <v>6.65</v>
      </c>
      <c r="N181" s="101">
        <f t="shared" si="12"/>
        <v>45.5259</v>
      </c>
      <c r="O181" s="48" t="s">
        <v>272</v>
      </c>
      <c r="P181" s="48" t="s">
        <v>259</v>
      </c>
      <c r="Q181" s="48" t="s">
        <v>78</v>
      </c>
      <c r="R181" s="102" t="s">
        <v>79</v>
      </c>
      <c r="S181" s="103" t="e">
        <f t="shared" si="13"/>
        <v>#REF!</v>
      </c>
      <c r="T181" s="104" t="e">
        <f t="shared" si="14"/>
        <v>#REF!</v>
      </c>
    </row>
    <row r="182" ht="18.95" customHeight="1" spans="1:20">
      <c r="A182" s="94">
        <v>175</v>
      </c>
      <c r="B182" s="47" t="s">
        <v>254</v>
      </c>
      <c r="C182" s="95"/>
      <c r="D182" s="96"/>
      <c r="E182" s="65">
        <v>1</v>
      </c>
      <c r="F182" s="97" t="e">
        <f>#REF!</f>
        <v>#REF!</v>
      </c>
      <c r="G182" s="98">
        <v>10.391</v>
      </c>
      <c r="H182" s="99">
        <f t="shared" si="10"/>
        <v>10.391</v>
      </c>
      <c r="I182" s="100">
        <v>3.55</v>
      </c>
      <c r="J182" s="100">
        <v>3.1</v>
      </c>
      <c r="K182" s="100"/>
      <c r="L182" s="100"/>
      <c r="M182" s="100">
        <f t="shared" si="11"/>
        <v>6.65</v>
      </c>
      <c r="N182" s="101">
        <f t="shared" si="12"/>
        <v>69.10015</v>
      </c>
      <c r="O182" s="48" t="s">
        <v>273</v>
      </c>
      <c r="P182" s="48" t="s">
        <v>259</v>
      </c>
      <c r="Q182" s="48" t="s">
        <v>78</v>
      </c>
      <c r="R182" s="102" t="s">
        <v>79</v>
      </c>
      <c r="S182" s="103" t="e">
        <f t="shared" si="13"/>
        <v>#REF!</v>
      </c>
      <c r="T182" s="104" t="e">
        <f t="shared" si="14"/>
        <v>#REF!</v>
      </c>
    </row>
    <row r="183" ht="18.95" customHeight="1" spans="1:20">
      <c r="A183" s="94">
        <v>176</v>
      </c>
      <c r="B183" s="47" t="s">
        <v>254</v>
      </c>
      <c r="C183" s="95"/>
      <c r="D183" s="96"/>
      <c r="E183" s="65">
        <v>1</v>
      </c>
      <c r="F183" s="97" t="e">
        <f>#REF!</f>
        <v>#REF!</v>
      </c>
      <c r="G183" s="98">
        <v>10.783</v>
      </c>
      <c r="H183" s="99">
        <f t="shared" si="10"/>
        <v>10.783</v>
      </c>
      <c r="I183" s="100">
        <v>3.55</v>
      </c>
      <c r="J183" s="100">
        <v>3.1</v>
      </c>
      <c r="K183" s="100"/>
      <c r="L183" s="100"/>
      <c r="M183" s="100">
        <f t="shared" si="11"/>
        <v>6.65</v>
      </c>
      <c r="N183" s="101">
        <f t="shared" si="12"/>
        <v>71.70695</v>
      </c>
      <c r="O183" s="48" t="s">
        <v>274</v>
      </c>
      <c r="P183" s="48" t="s">
        <v>259</v>
      </c>
      <c r="Q183" s="48" t="s">
        <v>78</v>
      </c>
      <c r="R183" s="102" t="s">
        <v>79</v>
      </c>
      <c r="S183" s="103" t="e">
        <f t="shared" si="13"/>
        <v>#REF!</v>
      </c>
      <c r="T183" s="104" t="e">
        <f t="shared" si="14"/>
        <v>#REF!</v>
      </c>
    </row>
    <row r="184" ht="18.95" customHeight="1" spans="1:20">
      <c r="A184" s="94">
        <v>177</v>
      </c>
      <c r="B184" s="47" t="s">
        <v>254</v>
      </c>
      <c r="C184" s="95"/>
      <c r="D184" s="96"/>
      <c r="E184" s="65">
        <v>2</v>
      </c>
      <c r="F184" s="97" t="e">
        <f>#REF!</f>
        <v>#REF!</v>
      </c>
      <c r="G184" s="98">
        <v>1.346</v>
      </c>
      <c r="H184" s="99">
        <f t="shared" si="10"/>
        <v>2.692</v>
      </c>
      <c r="I184" s="100">
        <v>3.55</v>
      </c>
      <c r="J184" s="100">
        <v>3.1</v>
      </c>
      <c r="K184" s="100"/>
      <c r="L184" s="100">
        <v>0.5</v>
      </c>
      <c r="M184" s="100">
        <f t="shared" si="11"/>
        <v>7.15</v>
      </c>
      <c r="N184" s="101">
        <f t="shared" si="12"/>
        <v>19.2478</v>
      </c>
      <c r="O184" s="48" t="s">
        <v>275</v>
      </c>
      <c r="P184" s="48" t="s">
        <v>259</v>
      </c>
      <c r="Q184" s="48" t="s">
        <v>78</v>
      </c>
      <c r="R184" s="102" t="s">
        <v>79</v>
      </c>
      <c r="S184" s="103" t="e">
        <f t="shared" si="13"/>
        <v>#REF!</v>
      </c>
      <c r="T184" s="104" t="e">
        <f t="shared" si="14"/>
        <v>#REF!</v>
      </c>
    </row>
    <row r="185" ht="18.95" customHeight="1" spans="1:20">
      <c r="A185" s="94">
        <v>178</v>
      </c>
      <c r="B185" s="47" t="s">
        <v>254</v>
      </c>
      <c r="C185" s="95"/>
      <c r="D185" s="96"/>
      <c r="E185" s="65">
        <v>10</v>
      </c>
      <c r="F185" s="97" t="e">
        <f>#REF!</f>
        <v>#REF!</v>
      </c>
      <c r="G185" s="98">
        <v>3.019</v>
      </c>
      <c r="H185" s="99">
        <f t="shared" si="10"/>
        <v>30.19</v>
      </c>
      <c r="I185" s="100">
        <v>3.55</v>
      </c>
      <c r="J185" s="100">
        <v>3.1</v>
      </c>
      <c r="K185" s="100"/>
      <c r="L185" s="100"/>
      <c r="M185" s="100">
        <f t="shared" si="11"/>
        <v>6.65</v>
      </c>
      <c r="N185" s="101">
        <f t="shared" si="12"/>
        <v>200.7635</v>
      </c>
      <c r="O185" s="48" t="s">
        <v>276</v>
      </c>
      <c r="P185" s="48" t="s">
        <v>259</v>
      </c>
      <c r="Q185" s="48" t="s">
        <v>78</v>
      </c>
      <c r="R185" s="102" t="s">
        <v>79</v>
      </c>
      <c r="S185" s="103" t="e">
        <f t="shared" si="13"/>
        <v>#REF!</v>
      </c>
      <c r="T185" s="104" t="e">
        <f t="shared" si="14"/>
        <v>#REF!</v>
      </c>
    </row>
    <row r="186" ht="18.95" customHeight="1" spans="1:20">
      <c r="A186" s="94">
        <v>179</v>
      </c>
      <c r="B186" s="47" t="s">
        <v>254</v>
      </c>
      <c r="C186" s="95"/>
      <c r="D186" s="96"/>
      <c r="E186" s="65">
        <v>8</v>
      </c>
      <c r="F186" s="97" t="e">
        <f>#REF!</f>
        <v>#REF!</v>
      </c>
      <c r="G186" s="98">
        <v>2.921</v>
      </c>
      <c r="H186" s="99">
        <f t="shared" si="10"/>
        <v>23.368</v>
      </c>
      <c r="I186" s="100">
        <v>3.55</v>
      </c>
      <c r="J186" s="100">
        <v>3.1</v>
      </c>
      <c r="K186" s="100"/>
      <c r="L186" s="100">
        <v>0.5</v>
      </c>
      <c r="M186" s="100">
        <f t="shared" si="11"/>
        <v>7.15</v>
      </c>
      <c r="N186" s="101">
        <f t="shared" si="12"/>
        <v>167.0812</v>
      </c>
      <c r="O186" s="48" t="s">
        <v>277</v>
      </c>
      <c r="P186" s="48" t="s">
        <v>259</v>
      </c>
      <c r="Q186" s="48" t="s">
        <v>78</v>
      </c>
      <c r="R186" s="102" t="s">
        <v>79</v>
      </c>
      <c r="S186" s="103" t="e">
        <f t="shared" si="13"/>
        <v>#REF!</v>
      </c>
      <c r="T186" s="104" t="e">
        <f t="shared" si="14"/>
        <v>#REF!</v>
      </c>
    </row>
    <row r="187" ht="18.95" customHeight="1" spans="1:20">
      <c r="A187" s="94">
        <v>180</v>
      </c>
      <c r="B187" s="47" t="s">
        <v>254</v>
      </c>
      <c r="C187" s="95"/>
      <c r="D187" s="96"/>
      <c r="E187" s="65">
        <v>8</v>
      </c>
      <c r="F187" s="97" t="e">
        <f>#REF!</f>
        <v>#REF!</v>
      </c>
      <c r="G187" s="98">
        <v>2.716</v>
      </c>
      <c r="H187" s="99">
        <f t="shared" si="10"/>
        <v>21.728</v>
      </c>
      <c r="I187" s="100">
        <v>3.55</v>
      </c>
      <c r="J187" s="100">
        <v>3.1</v>
      </c>
      <c r="K187" s="100"/>
      <c r="L187" s="100">
        <v>0.5</v>
      </c>
      <c r="M187" s="100">
        <f t="shared" si="11"/>
        <v>7.15</v>
      </c>
      <c r="N187" s="101">
        <f t="shared" si="12"/>
        <v>155.3552</v>
      </c>
      <c r="O187" s="48" t="s">
        <v>278</v>
      </c>
      <c r="P187" s="48" t="s">
        <v>259</v>
      </c>
      <c r="Q187" s="48" t="s">
        <v>78</v>
      </c>
      <c r="R187" s="102" t="s">
        <v>79</v>
      </c>
      <c r="S187" s="103" t="e">
        <f t="shared" si="13"/>
        <v>#REF!</v>
      </c>
      <c r="T187" s="104" t="e">
        <f t="shared" si="14"/>
        <v>#REF!</v>
      </c>
    </row>
    <row r="188" ht="18.95" customHeight="1" spans="1:20">
      <c r="A188" s="94">
        <v>181</v>
      </c>
      <c r="B188" s="47" t="s">
        <v>254</v>
      </c>
      <c r="C188" s="95"/>
      <c r="D188" s="96"/>
      <c r="E188" s="65">
        <v>8</v>
      </c>
      <c r="F188" s="97" t="e">
        <f>#REF!</f>
        <v>#REF!</v>
      </c>
      <c r="G188" s="98">
        <v>3.628</v>
      </c>
      <c r="H188" s="99">
        <f t="shared" si="10"/>
        <v>29.024</v>
      </c>
      <c r="I188" s="100">
        <v>3.55</v>
      </c>
      <c r="J188" s="100">
        <v>3.1</v>
      </c>
      <c r="K188" s="100"/>
      <c r="L188" s="100"/>
      <c r="M188" s="100">
        <f t="shared" si="11"/>
        <v>6.65</v>
      </c>
      <c r="N188" s="101">
        <f t="shared" si="12"/>
        <v>193.0096</v>
      </c>
      <c r="O188" s="48" t="s">
        <v>279</v>
      </c>
      <c r="P188" s="48" t="s">
        <v>259</v>
      </c>
      <c r="Q188" s="48" t="s">
        <v>78</v>
      </c>
      <c r="R188" s="102" t="s">
        <v>79</v>
      </c>
      <c r="S188" s="103" t="e">
        <f t="shared" si="13"/>
        <v>#REF!</v>
      </c>
      <c r="T188" s="104" t="e">
        <f t="shared" si="14"/>
        <v>#REF!</v>
      </c>
    </row>
    <row r="189" ht="18.95" customHeight="1" spans="1:20">
      <c r="A189" s="94">
        <v>182</v>
      </c>
      <c r="B189" s="47" t="s">
        <v>254</v>
      </c>
      <c r="C189" s="95"/>
      <c r="D189" s="96"/>
      <c r="E189" s="65">
        <v>18</v>
      </c>
      <c r="F189" s="97" t="e">
        <f>#REF!</f>
        <v>#REF!</v>
      </c>
      <c r="G189" s="98">
        <v>3.441</v>
      </c>
      <c r="H189" s="99">
        <f t="shared" si="10"/>
        <v>61.938</v>
      </c>
      <c r="I189" s="100">
        <v>3.55</v>
      </c>
      <c r="J189" s="100">
        <v>3.1</v>
      </c>
      <c r="K189" s="100"/>
      <c r="L189" s="100"/>
      <c r="M189" s="100">
        <f t="shared" si="11"/>
        <v>6.65</v>
      </c>
      <c r="N189" s="101">
        <f t="shared" si="12"/>
        <v>411.8877</v>
      </c>
      <c r="O189" s="48" t="s">
        <v>280</v>
      </c>
      <c r="P189" s="48" t="s">
        <v>259</v>
      </c>
      <c r="Q189" s="48" t="s">
        <v>78</v>
      </c>
      <c r="R189" s="102" t="s">
        <v>79</v>
      </c>
      <c r="S189" s="103" t="e">
        <f t="shared" si="13"/>
        <v>#REF!</v>
      </c>
      <c r="T189" s="104" t="e">
        <f t="shared" si="14"/>
        <v>#REF!</v>
      </c>
    </row>
    <row r="190" ht="18.95" customHeight="1" spans="1:20">
      <c r="A190" s="94">
        <v>183</v>
      </c>
      <c r="B190" s="47" t="s">
        <v>254</v>
      </c>
      <c r="C190" s="95"/>
      <c r="D190" s="96"/>
      <c r="E190" s="65">
        <v>18</v>
      </c>
      <c r="F190" s="97" t="e">
        <f>#REF!</f>
        <v>#REF!</v>
      </c>
      <c r="G190" s="98">
        <v>3.126</v>
      </c>
      <c r="H190" s="99">
        <f t="shared" si="10"/>
        <v>56.268</v>
      </c>
      <c r="I190" s="100">
        <v>3.55</v>
      </c>
      <c r="J190" s="100">
        <v>3.1</v>
      </c>
      <c r="K190" s="100"/>
      <c r="L190" s="100"/>
      <c r="M190" s="100">
        <f t="shared" si="11"/>
        <v>6.65</v>
      </c>
      <c r="N190" s="101">
        <f t="shared" si="12"/>
        <v>374.1822</v>
      </c>
      <c r="O190" s="48" t="s">
        <v>281</v>
      </c>
      <c r="P190" s="48" t="s">
        <v>259</v>
      </c>
      <c r="Q190" s="48" t="s">
        <v>78</v>
      </c>
      <c r="R190" s="102" t="s">
        <v>79</v>
      </c>
      <c r="S190" s="103" t="e">
        <f t="shared" si="13"/>
        <v>#REF!</v>
      </c>
      <c r="T190" s="104" t="e">
        <f t="shared" si="14"/>
        <v>#REF!</v>
      </c>
    </row>
    <row r="191" ht="18.95" customHeight="1" spans="1:20">
      <c r="A191" s="94">
        <v>184</v>
      </c>
      <c r="B191" s="47" t="s">
        <v>254</v>
      </c>
      <c r="C191" s="95"/>
      <c r="D191" s="96"/>
      <c r="E191" s="65">
        <v>18</v>
      </c>
      <c r="F191" s="97" t="e">
        <f>#REF!</f>
        <v>#REF!</v>
      </c>
      <c r="G191" s="98">
        <v>3.585</v>
      </c>
      <c r="H191" s="99">
        <f t="shared" si="10"/>
        <v>64.53</v>
      </c>
      <c r="I191" s="100">
        <v>3.55</v>
      </c>
      <c r="J191" s="100">
        <v>3.1</v>
      </c>
      <c r="K191" s="100"/>
      <c r="L191" s="100"/>
      <c r="M191" s="100">
        <f t="shared" si="11"/>
        <v>6.65</v>
      </c>
      <c r="N191" s="101">
        <f t="shared" si="12"/>
        <v>429.1245</v>
      </c>
      <c r="O191" s="48" t="s">
        <v>282</v>
      </c>
      <c r="P191" s="48" t="s">
        <v>259</v>
      </c>
      <c r="Q191" s="48" t="s">
        <v>78</v>
      </c>
      <c r="R191" s="102" t="s">
        <v>79</v>
      </c>
      <c r="S191" s="103" t="e">
        <f t="shared" si="13"/>
        <v>#REF!</v>
      </c>
      <c r="T191" s="104" t="e">
        <f t="shared" si="14"/>
        <v>#REF!</v>
      </c>
    </row>
    <row r="192" ht="18.95" customHeight="1" spans="1:20">
      <c r="A192" s="94">
        <v>185</v>
      </c>
      <c r="B192" s="47" t="s">
        <v>254</v>
      </c>
      <c r="C192" s="95"/>
      <c r="D192" s="96"/>
      <c r="E192" s="65">
        <v>5</v>
      </c>
      <c r="F192" s="97" t="e">
        <f>#REF!</f>
        <v>#REF!</v>
      </c>
      <c r="G192" s="98">
        <v>5.206</v>
      </c>
      <c r="H192" s="99">
        <f t="shared" si="10"/>
        <v>26.03</v>
      </c>
      <c r="I192" s="100">
        <v>3.55</v>
      </c>
      <c r="J192" s="100">
        <v>3.1</v>
      </c>
      <c r="K192" s="100"/>
      <c r="L192" s="100"/>
      <c r="M192" s="100">
        <f t="shared" si="11"/>
        <v>6.65</v>
      </c>
      <c r="N192" s="101">
        <f t="shared" si="12"/>
        <v>173.0995</v>
      </c>
      <c r="O192" s="48" t="s">
        <v>283</v>
      </c>
      <c r="P192" s="48" t="s">
        <v>259</v>
      </c>
      <c r="Q192" s="48" t="s">
        <v>78</v>
      </c>
      <c r="R192" s="102" t="s">
        <v>79</v>
      </c>
      <c r="S192" s="103" t="e">
        <f t="shared" si="13"/>
        <v>#REF!</v>
      </c>
      <c r="T192" s="104" t="e">
        <f t="shared" si="14"/>
        <v>#REF!</v>
      </c>
    </row>
    <row r="193" ht="18.95" customHeight="1" spans="1:21">
      <c r="A193" s="94">
        <v>186</v>
      </c>
      <c r="B193" s="47" t="s">
        <v>254</v>
      </c>
      <c r="C193" s="95"/>
      <c r="D193" s="96"/>
      <c r="E193" s="65">
        <v>18</v>
      </c>
      <c r="F193" s="97" t="e">
        <f>#REF!</f>
        <v>#REF!</v>
      </c>
      <c r="G193" s="98">
        <v>0.428</v>
      </c>
      <c r="H193" s="99">
        <f t="shared" si="10"/>
        <v>7.704</v>
      </c>
      <c r="I193" s="100">
        <v>3.55</v>
      </c>
      <c r="J193" s="100">
        <v>3.1</v>
      </c>
      <c r="K193" s="100"/>
      <c r="L193" s="100">
        <v>0.5</v>
      </c>
      <c r="M193" s="100">
        <f t="shared" si="11"/>
        <v>7.15</v>
      </c>
      <c r="N193" s="101">
        <f t="shared" si="12"/>
        <v>55.0836</v>
      </c>
      <c r="O193" s="48" t="s">
        <v>284</v>
      </c>
      <c r="P193" s="48" t="s">
        <v>259</v>
      </c>
      <c r="Q193" s="48" t="s">
        <v>78</v>
      </c>
      <c r="R193" s="102" t="s">
        <v>79</v>
      </c>
      <c r="S193" s="103" t="e">
        <f t="shared" si="13"/>
        <v>#REF!</v>
      </c>
      <c r="T193" s="104" t="e">
        <f t="shared" si="14"/>
        <v>#REF!</v>
      </c>
    </row>
    <row r="194" ht="18.95" customHeight="1" spans="1:21">
      <c r="A194" s="94">
        <v>187</v>
      </c>
      <c r="B194" s="47" t="s">
        <v>254</v>
      </c>
      <c r="C194" s="95"/>
      <c r="D194" s="96"/>
      <c r="E194" s="65">
        <v>5</v>
      </c>
      <c r="F194" s="97" t="e">
        <f>#REF!</f>
        <v>#REF!</v>
      </c>
      <c r="G194" s="98">
        <v>7.348</v>
      </c>
      <c r="H194" s="99">
        <f t="shared" si="10"/>
        <v>36.74</v>
      </c>
      <c r="I194" s="100">
        <v>3.55</v>
      </c>
      <c r="J194" s="100">
        <v>3.1</v>
      </c>
      <c r="K194" s="100"/>
      <c r="L194" s="100"/>
      <c r="M194" s="100">
        <f t="shared" si="11"/>
        <v>6.65</v>
      </c>
      <c r="N194" s="101">
        <f t="shared" si="12"/>
        <v>244.321</v>
      </c>
      <c r="O194" s="48" t="s">
        <v>285</v>
      </c>
      <c r="P194" s="48" t="s">
        <v>259</v>
      </c>
      <c r="Q194" s="48" t="s">
        <v>78</v>
      </c>
      <c r="R194" s="102" t="s">
        <v>79</v>
      </c>
      <c r="S194" s="103" t="e">
        <f t="shared" si="13"/>
        <v>#REF!</v>
      </c>
      <c r="T194" s="104" t="e">
        <f t="shared" si="14"/>
        <v>#REF!</v>
      </c>
    </row>
    <row r="195" ht="18.95" customHeight="1" spans="1:21">
      <c r="A195" s="94">
        <v>188</v>
      </c>
      <c r="B195" s="47" t="s">
        <v>254</v>
      </c>
      <c r="C195" s="95"/>
      <c r="D195" s="96"/>
      <c r="E195" s="65">
        <v>5</v>
      </c>
      <c r="F195" s="97" t="e">
        <f>#REF!</f>
        <v>#REF!</v>
      </c>
      <c r="G195" s="98">
        <v>2.891</v>
      </c>
      <c r="H195" s="99">
        <f t="shared" si="10"/>
        <v>14.455</v>
      </c>
      <c r="I195" s="100">
        <v>3.55</v>
      </c>
      <c r="J195" s="100">
        <v>3.1</v>
      </c>
      <c r="K195" s="100"/>
      <c r="L195" s="100">
        <v>0.5</v>
      </c>
      <c r="M195" s="100">
        <f t="shared" si="11"/>
        <v>7.15</v>
      </c>
      <c r="N195" s="101">
        <f t="shared" si="12"/>
        <v>103.35325</v>
      </c>
      <c r="O195" s="48" t="s">
        <v>286</v>
      </c>
      <c r="P195" s="48" t="s">
        <v>259</v>
      </c>
      <c r="Q195" s="48" t="s">
        <v>78</v>
      </c>
      <c r="R195" s="102" t="s">
        <v>79</v>
      </c>
      <c r="S195" s="103" t="e">
        <f t="shared" si="13"/>
        <v>#REF!</v>
      </c>
      <c r="T195" s="104" t="e">
        <f t="shared" si="14"/>
        <v>#REF!</v>
      </c>
    </row>
    <row r="196" ht="18.95" customHeight="1" spans="1:21">
      <c r="A196" s="94">
        <v>189</v>
      </c>
      <c r="B196" s="47" t="s">
        <v>254</v>
      </c>
      <c r="C196" s="95"/>
      <c r="D196" s="96"/>
      <c r="E196" s="65">
        <v>1</v>
      </c>
      <c r="F196" s="97" t="e">
        <f>#REF!</f>
        <v>#REF!</v>
      </c>
      <c r="G196" s="98">
        <v>1.147</v>
      </c>
      <c r="H196" s="99">
        <f t="shared" si="10"/>
        <v>1.147</v>
      </c>
      <c r="I196" s="100"/>
      <c r="J196" s="100"/>
      <c r="K196" s="100"/>
      <c r="L196" s="100"/>
      <c r="M196" s="100"/>
      <c r="N196" s="101"/>
      <c r="O196" s="48" t="s">
        <v>287</v>
      </c>
      <c r="P196" s="48" t="s">
        <v>259</v>
      </c>
      <c r="Q196" s="48" t="s">
        <v>78</v>
      </c>
      <c r="R196" s="102" t="s">
        <v>79</v>
      </c>
      <c r="S196" s="103" t="e">
        <f t="shared" si="13"/>
        <v>#REF!</v>
      </c>
      <c r="T196" s="104" t="e">
        <f t="shared" si="14"/>
        <v>#REF!</v>
      </c>
    </row>
    <row r="197" ht="18.95" customHeight="1" spans="1:21">
      <c r="A197" s="94">
        <v>190</v>
      </c>
      <c r="B197" s="47" t="s">
        <v>254</v>
      </c>
      <c r="C197" s="95"/>
      <c r="D197" s="96"/>
      <c r="E197" s="65">
        <v>5</v>
      </c>
      <c r="F197" s="97" t="e">
        <f>#REF!</f>
        <v>#REF!</v>
      </c>
      <c r="G197" s="98">
        <v>18.354</v>
      </c>
      <c r="H197" s="99">
        <f t="shared" si="10"/>
        <v>91.77</v>
      </c>
      <c r="I197" s="100"/>
      <c r="J197" s="100"/>
      <c r="K197" s="100"/>
      <c r="L197" s="100"/>
      <c r="M197" s="100"/>
      <c r="N197" s="101"/>
      <c r="O197" s="48" t="s">
        <v>288</v>
      </c>
      <c r="P197" s="48" t="s">
        <v>259</v>
      </c>
      <c r="Q197" s="48" t="s">
        <v>78</v>
      </c>
      <c r="R197" s="102" t="s">
        <v>79</v>
      </c>
      <c r="S197" s="103" t="e">
        <f t="shared" si="13"/>
        <v>#REF!</v>
      </c>
      <c r="T197" s="104" t="e">
        <f t="shared" si="14"/>
        <v>#REF!</v>
      </c>
    </row>
    <row r="198" ht="18.95" customHeight="1" spans="1:21">
      <c r="A198" s="94">
        <v>191</v>
      </c>
      <c r="B198" s="47" t="s">
        <v>254</v>
      </c>
      <c r="C198" s="95"/>
      <c r="D198" s="96"/>
      <c r="E198" s="65">
        <v>1</v>
      </c>
      <c r="F198" s="97" t="e">
        <f>#REF!</f>
        <v>#REF!</v>
      </c>
      <c r="G198" s="98">
        <v>4.527</v>
      </c>
      <c r="H198" s="99">
        <f t="shared" si="10"/>
        <v>4.527</v>
      </c>
      <c r="I198" s="100"/>
      <c r="J198" s="100"/>
      <c r="K198" s="100"/>
      <c r="L198" s="100"/>
      <c r="M198" s="100"/>
      <c r="N198" s="101"/>
      <c r="O198" s="48" t="s">
        <v>289</v>
      </c>
      <c r="P198" s="48" t="s">
        <v>289</v>
      </c>
      <c r="Q198" s="48" t="s">
        <v>78</v>
      </c>
      <c r="R198" s="102" t="s">
        <v>79</v>
      </c>
      <c r="S198" s="103" t="e">
        <f t="shared" si="13"/>
        <v>#REF!</v>
      </c>
      <c r="T198" s="104" t="e">
        <f t="shared" si="14"/>
        <v>#REF!</v>
      </c>
      <c r="U198" s="106">
        <f>120*E198</f>
        <v>120</v>
      </c>
    </row>
    <row r="199" ht="18.95" customHeight="1" spans="1:21">
      <c r="A199" s="94">
        <v>192</v>
      </c>
      <c r="B199" s="47" t="s">
        <v>254</v>
      </c>
      <c r="C199" s="95"/>
      <c r="D199" s="96"/>
      <c r="E199" s="65">
        <v>28</v>
      </c>
      <c r="F199" s="97" t="e">
        <f>#REF!</f>
        <v>#REF!</v>
      </c>
      <c r="G199" s="98">
        <v>0.275</v>
      </c>
      <c r="H199" s="99">
        <f t="shared" si="10"/>
        <v>7.7</v>
      </c>
      <c r="I199" s="100"/>
      <c r="J199" s="100"/>
      <c r="K199" s="100"/>
      <c r="L199" s="100"/>
      <c r="M199" s="100"/>
      <c r="N199" s="101"/>
      <c r="O199" s="48" t="s">
        <v>290</v>
      </c>
      <c r="P199" s="48" t="s">
        <v>290</v>
      </c>
      <c r="Q199" s="48" t="s">
        <v>78</v>
      </c>
      <c r="R199" s="102" t="s">
        <v>79</v>
      </c>
      <c r="S199" s="103" t="e">
        <f t="shared" si="13"/>
        <v>#REF!</v>
      </c>
      <c r="T199" s="104" t="e">
        <f t="shared" si="14"/>
        <v>#REF!</v>
      </c>
    </row>
    <row r="200" ht="18.95" customHeight="1" spans="1:21">
      <c r="A200" s="94">
        <v>193</v>
      </c>
      <c r="B200" s="47" t="s">
        <v>254</v>
      </c>
      <c r="C200" s="95"/>
      <c r="D200" s="96"/>
      <c r="E200" s="65">
        <v>26</v>
      </c>
      <c r="F200" s="97" t="e">
        <f>#REF!</f>
        <v>#REF!</v>
      </c>
      <c r="G200" s="98">
        <v>0.275</v>
      </c>
      <c r="H200" s="99">
        <f t="shared" si="10"/>
        <v>7.15</v>
      </c>
      <c r="I200" s="100"/>
      <c r="J200" s="100"/>
      <c r="K200" s="100"/>
      <c r="L200" s="100"/>
      <c r="M200" s="100"/>
      <c r="N200" s="101"/>
      <c r="O200" s="48" t="s">
        <v>291</v>
      </c>
      <c r="P200" s="48" t="s">
        <v>291</v>
      </c>
      <c r="Q200" s="48" t="s">
        <v>78</v>
      </c>
      <c r="R200" s="102" t="s">
        <v>79</v>
      </c>
      <c r="S200" s="103" t="e">
        <f t="shared" si="13"/>
        <v>#REF!</v>
      </c>
      <c r="T200" s="104" t="e">
        <f t="shared" si="14"/>
        <v>#REF!</v>
      </c>
    </row>
    <row r="201" ht="18.95" customHeight="1" spans="1:21">
      <c r="A201" s="94">
        <v>194</v>
      </c>
      <c r="B201" s="47" t="s">
        <v>254</v>
      </c>
      <c r="C201" s="95"/>
      <c r="D201" s="96"/>
      <c r="E201" s="65">
        <v>1</v>
      </c>
      <c r="F201" s="97" t="e">
        <f>#REF!</f>
        <v>#REF!</v>
      </c>
      <c r="G201" s="98">
        <v>2.955</v>
      </c>
      <c r="H201" s="99">
        <f t="shared" ref="H201:H212" si="16">G201*E201</f>
        <v>2.955</v>
      </c>
      <c r="I201" s="100"/>
      <c r="J201" s="100"/>
      <c r="K201" s="100"/>
      <c r="L201" s="100"/>
      <c r="M201" s="100"/>
      <c r="N201" s="101"/>
      <c r="O201" s="48" t="s">
        <v>292</v>
      </c>
      <c r="P201" s="48" t="s">
        <v>292</v>
      </c>
      <c r="Q201" s="48" t="s">
        <v>78</v>
      </c>
      <c r="R201" s="102" t="s">
        <v>79</v>
      </c>
      <c r="S201" s="103" t="e">
        <f t="shared" ref="S201:S212" si="17">E201*F201</f>
        <v>#REF!</v>
      </c>
      <c r="T201" s="104" t="e">
        <f t="shared" ref="T201:T212" si="18">F201-G201</f>
        <v>#REF!</v>
      </c>
    </row>
    <row r="202" ht="18.95" customHeight="1" spans="1:21">
      <c r="A202" s="94">
        <v>195</v>
      </c>
      <c r="B202" s="47" t="s">
        <v>254</v>
      </c>
      <c r="C202" s="95"/>
      <c r="D202" s="96"/>
      <c r="E202" s="65">
        <v>1</v>
      </c>
      <c r="F202" s="97" t="e">
        <f>#REF!</f>
        <v>#REF!</v>
      </c>
      <c r="G202" s="98">
        <v>4.387</v>
      </c>
      <c r="H202" s="99">
        <f t="shared" si="16"/>
        <v>4.387</v>
      </c>
      <c r="I202" s="100"/>
      <c r="J202" s="100"/>
      <c r="K202" s="100"/>
      <c r="L202" s="100"/>
      <c r="M202" s="100"/>
      <c r="N202" s="101"/>
      <c r="O202" s="48" t="s">
        <v>293</v>
      </c>
      <c r="P202" s="48" t="s">
        <v>293</v>
      </c>
      <c r="Q202" s="48" t="s">
        <v>78</v>
      </c>
      <c r="R202" s="102" t="s">
        <v>79</v>
      </c>
      <c r="S202" s="103" t="e">
        <f t="shared" si="17"/>
        <v>#REF!</v>
      </c>
      <c r="T202" s="104" t="e">
        <f t="shared" si="18"/>
        <v>#REF!</v>
      </c>
    </row>
    <row r="203" ht="18.95" customHeight="1" spans="1:21">
      <c r="A203" s="94">
        <v>196</v>
      </c>
      <c r="B203" s="47" t="s">
        <v>254</v>
      </c>
      <c r="C203" s="95"/>
      <c r="D203" s="96"/>
      <c r="E203" s="65">
        <v>1</v>
      </c>
      <c r="F203" s="97" t="e">
        <f>#REF!</f>
        <v>#REF!</v>
      </c>
      <c r="G203" s="98">
        <v>1.823</v>
      </c>
      <c r="H203" s="99">
        <f t="shared" si="16"/>
        <v>1.823</v>
      </c>
      <c r="I203" s="100"/>
      <c r="J203" s="100"/>
      <c r="K203" s="100"/>
      <c r="L203" s="100"/>
      <c r="M203" s="100"/>
      <c r="N203" s="101"/>
      <c r="O203" s="48" t="s">
        <v>294</v>
      </c>
      <c r="P203" s="48" t="s">
        <v>294</v>
      </c>
      <c r="Q203" s="48" t="s">
        <v>78</v>
      </c>
      <c r="R203" s="102" t="s">
        <v>79</v>
      </c>
      <c r="S203" s="103" t="e">
        <f t="shared" si="17"/>
        <v>#REF!</v>
      </c>
      <c r="T203" s="104" t="e">
        <f t="shared" si="18"/>
        <v>#REF!</v>
      </c>
    </row>
    <row r="204" ht="18.95" customHeight="1" spans="1:21">
      <c r="A204" s="94">
        <v>197</v>
      </c>
      <c r="B204" s="47" t="s">
        <v>254</v>
      </c>
      <c r="C204" s="95"/>
      <c r="D204" s="96"/>
      <c r="E204" s="65">
        <v>1</v>
      </c>
      <c r="F204" s="97" t="e">
        <f>#REF!</f>
        <v>#REF!</v>
      </c>
      <c r="G204" s="98">
        <v>0.905</v>
      </c>
      <c r="H204" s="99">
        <f t="shared" si="16"/>
        <v>0.905</v>
      </c>
      <c r="I204" s="100"/>
      <c r="J204" s="100"/>
      <c r="K204" s="100"/>
      <c r="L204" s="100"/>
      <c r="M204" s="100"/>
      <c r="N204" s="101"/>
      <c r="O204" s="48" t="s">
        <v>295</v>
      </c>
      <c r="P204" s="48" t="s">
        <v>295</v>
      </c>
      <c r="Q204" s="48" t="s">
        <v>78</v>
      </c>
      <c r="R204" s="102" t="s">
        <v>79</v>
      </c>
      <c r="S204" s="103" t="e">
        <f t="shared" si="17"/>
        <v>#REF!</v>
      </c>
      <c r="T204" s="104" t="e">
        <f t="shared" si="18"/>
        <v>#REF!</v>
      </c>
    </row>
    <row r="205" ht="18.95" customHeight="1" spans="1:21">
      <c r="A205" s="94">
        <v>198</v>
      </c>
      <c r="B205" s="47" t="s">
        <v>254</v>
      </c>
      <c r="C205" s="95"/>
      <c r="D205" s="96"/>
      <c r="E205" s="65">
        <v>1</v>
      </c>
      <c r="F205" s="97" t="e">
        <f>#REF!</f>
        <v>#REF!</v>
      </c>
      <c r="G205" s="98">
        <v>6.791</v>
      </c>
      <c r="H205" s="99">
        <f t="shared" si="16"/>
        <v>6.791</v>
      </c>
      <c r="I205" s="100"/>
      <c r="J205" s="100"/>
      <c r="K205" s="100"/>
      <c r="L205" s="100"/>
      <c r="M205" s="100"/>
      <c r="N205" s="101"/>
      <c r="O205" s="48" t="s">
        <v>296</v>
      </c>
      <c r="P205" s="48" t="s">
        <v>296</v>
      </c>
      <c r="Q205" s="48" t="s">
        <v>78</v>
      </c>
      <c r="R205" s="102" t="s">
        <v>79</v>
      </c>
      <c r="S205" s="103" t="e">
        <f t="shared" si="17"/>
        <v>#REF!</v>
      </c>
      <c r="T205" s="104" t="e">
        <f t="shared" si="18"/>
        <v>#REF!</v>
      </c>
    </row>
    <row r="206" ht="18.95" customHeight="1" spans="1:21">
      <c r="A206" s="94">
        <v>199</v>
      </c>
      <c r="B206" s="47" t="s">
        <v>254</v>
      </c>
      <c r="C206" s="95"/>
      <c r="D206" s="96"/>
      <c r="E206" s="65">
        <v>19</v>
      </c>
      <c r="F206" s="97" t="e">
        <f>#REF!</f>
        <v>#REF!</v>
      </c>
      <c r="G206" s="98">
        <v>1.087</v>
      </c>
      <c r="H206" s="99">
        <f t="shared" si="16"/>
        <v>20.653</v>
      </c>
      <c r="I206" s="100"/>
      <c r="J206" s="100"/>
      <c r="K206" s="100"/>
      <c r="L206" s="100"/>
      <c r="M206" s="100"/>
      <c r="N206" s="101"/>
      <c r="O206" s="48" t="s">
        <v>297</v>
      </c>
      <c r="P206" s="48" t="s">
        <v>297</v>
      </c>
      <c r="Q206" s="48" t="s">
        <v>78</v>
      </c>
      <c r="R206" s="102" t="s">
        <v>79</v>
      </c>
      <c r="S206" s="103" t="e">
        <f t="shared" si="17"/>
        <v>#REF!</v>
      </c>
      <c r="T206" s="104" t="e">
        <f t="shared" si="18"/>
        <v>#REF!</v>
      </c>
    </row>
    <row r="207" ht="18.95" customHeight="1" spans="1:21">
      <c r="A207" s="94">
        <v>200</v>
      </c>
      <c r="B207" s="47" t="s">
        <v>254</v>
      </c>
      <c r="C207" s="95"/>
      <c r="D207" s="96"/>
      <c r="E207" s="65">
        <v>17</v>
      </c>
      <c r="F207" s="97" t="e">
        <f>#REF!</f>
        <v>#REF!</v>
      </c>
      <c r="G207" s="98">
        <v>3.352</v>
      </c>
      <c r="H207" s="99">
        <f t="shared" si="16"/>
        <v>56.984</v>
      </c>
      <c r="I207" s="100"/>
      <c r="J207" s="100"/>
      <c r="K207" s="100"/>
      <c r="L207" s="100"/>
      <c r="M207" s="100"/>
      <c r="N207" s="101"/>
      <c r="O207" s="48" t="s">
        <v>298</v>
      </c>
      <c r="P207" s="48" t="s">
        <v>298</v>
      </c>
      <c r="Q207" s="48" t="s">
        <v>78</v>
      </c>
      <c r="R207" s="102" t="s">
        <v>79</v>
      </c>
      <c r="S207" s="103" t="e">
        <f t="shared" si="17"/>
        <v>#REF!</v>
      </c>
      <c r="T207" s="104" t="e">
        <f t="shared" si="18"/>
        <v>#REF!</v>
      </c>
    </row>
    <row r="208" ht="18.95" customHeight="1" spans="1:21">
      <c r="A208" s="94">
        <v>201</v>
      </c>
      <c r="B208" s="47" t="s">
        <v>254</v>
      </c>
      <c r="C208" s="95"/>
      <c r="D208" s="96"/>
      <c r="E208" s="65">
        <v>17</v>
      </c>
      <c r="F208" s="97" t="e">
        <f>#REF!</f>
        <v>#REF!</v>
      </c>
      <c r="G208" s="98">
        <v>3.352</v>
      </c>
      <c r="H208" s="99">
        <f t="shared" si="16"/>
        <v>56.984</v>
      </c>
      <c r="I208" s="100"/>
      <c r="J208" s="100"/>
      <c r="K208" s="100"/>
      <c r="L208" s="100"/>
      <c r="M208" s="100"/>
      <c r="N208" s="101"/>
      <c r="O208" s="48" t="s">
        <v>299</v>
      </c>
      <c r="P208" s="48" t="s">
        <v>299</v>
      </c>
      <c r="Q208" s="48" t="s">
        <v>78</v>
      </c>
      <c r="R208" s="102" t="s">
        <v>79</v>
      </c>
      <c r="S208" s="103" t="e">
        <f t="shared" si="17"/>
        <v>#REF!</v>
      </c>
      <c r="T208" s="104" t="e">
        <f t="shared" si="18"/>
        <v>#REF!</v>
      </c>
    </row>
    <row r="209" ht="18.95" customHeight="1" spans="1:21">
      <c r="A209" s="94">
        <v>202</v>
      </c>
      <c r="B209" s="47" t="s">
        <v>254</v>
      </c>
      <c r="C209" s="95"/>
      <c r="D209" s="96"/>
      <c r="E209" s="65">
        <v>4</v>
      </c>
      <c r="F209" s="97" t="e">
        <f>#REF!</f>
        <v>#REF!</v>
      </c>
      <c r="G209" s="98">
        <v>0.855</v>
      </c>
      <c r="H209" s="99">
        <f t="shared" si="16"/>
        <v>3.42</v>
      </c>
      <c r="I209" s="100"/>
      <c r="J209" s="100"/>
      <c r="K209" s="100"/>
      <c r="L209" s="100"/>
      <c r="M209" s="100"/>
      <c r="N209" s="101"/>
      <c r="O209" s="48" t="s">
        <v>300</v>
      </c>
      <c r="P209" s="48" t="s">
        <v>300</v>
      </c>
      <c r="Q209" s="48" t="s">
        <v>78</v>
      </c>
      <c r="R209" s="102" t="s">
        <v>79</v>
      </c>
      <c r="S209" s="103" t="e">
        <f t="shared" si="17"/>
        <v>#REF!</v>
      </c>
      <c r="T209" s="104" t="e">
        <f t="shared" si="18"/>
        <v>#REF!</v>
      </c>
    </row>
    <row r="210" ht="18.95" customHeight="1" spans="1:21">
      <c r="A210" s="94">
        <v>203</v>
      </c>
      <c r="B210" s="47" t="s">
        <v>254</v>
      </c>
      <c r="C210" s="95"/>
      <c r="D210" s="96"/>
      <c r="E210" s="65">
        <v>4</v>
      </c>
      <c r="F210" s="97" t="e">
        <f>#REF!</f>
        <v>#REF!</v>
      </c>
      <c r="G210" s="98">
        <v>0.855</v>
      </c>
      <c r="H210" s="99">
        <f t="shared" si="16"/>
        <v>3.42</v>
      </c>
      <c r="I210" s="100"/>
      <c r="J210" s="100"/>
      <c r="K210" s="100"/>
      <c r="L210" s="100"/>
      <c r="M210" s="100"/>
      <c r="N210" s="101"/>
      <c r="O210" s="48" t="s">
        <v>301</v>
      </c>
      <c r="P210" s="48" t="s">
        <v>301</v>
      </c>
      <c r="Q210" s="48" t="s">
        <v>78</v>
      </c>
      <c r="R210" s="102" t="s">
        <v>79</v>
      </c>
      <c r="S210" s="103" t="e">
        <f t="shared" si="17"/>
        <v>#REF!</v>
      </c>
      <c r="T210" s="104" t="e">
        <f t="shared" si="18"/>
        <v>#REF!</v>
      </c>
    </row>
    <row r="211" ht="18.95" customHeight="1" spans="1:21">
      <c r="A211" s="94">
        <v>204</v>
      </c>
      <c r="B211" s="47" t="s">
        <v>254</v>
      </c>
      <c r="C211" s="95"/>
      <c r="D211" s="96"/>
      <c r="E211" s="65">
        <v>2</v>
      </c>
      <c r="F211" s="97" t="e">
        <f>#REF!</f>
        <v>#REF!</v>
      </c>
      <c r="G211" s="98">
        <v>0.855</v>
      </c>
      <c r="H211" s="99">
        <f t="shared" si="16"/>
        <v>1.71</v>
      </c>
      <c r="I211" s="100"/>
      <c r="J211" s="100"/>
      <c r="K211" s="100"/>
      <c r="L211" s="100"/>
      <c r="M211" s="100"/>
      <c r="N211" s="101"/>
      <c r="O211" s="48" t="s">
        <v>302</v>
      </c>
      <c r="P211" s="48" t="s">
        <v>302</v>
      </c>
      <c r="Q211" s="48" t="s">
        <v>78</v>
      </c>
      <c r="R211" s="102" t="s">
        <v>79</v>
      </c>
      <c r="S211" s="103" t="e">
        <f t="shared" si="17"/>
        <v>#REF!</v>
      </c>
      <c r="T211" s="104" t="e">
        <f t="shared" si="18"/>
        <v>#REF!</v>
      </c>
    </row>
    <row r="212" ht="18.95" customHeight="1" spans="1:21">
      <c r="A212" s="94">
        <v>205</v>
      </c>
      <c r="B212" s="47" t="s">
        <v>254</v>
      </c>
      <c r="C212" s="95"/>
      <c r="D212" s="96"/>
      <c r="E212" s="65">
        <v>4</v>
      </c>
      <c r="F212" s="97" t="e">
        <f>#REF!</f>
        <v>#REF!</v>
      </c>
      <c r="G212" s="98">
        <v>0.855</v>
      </c>
      <c r="H212" s="99">
        <f t="shared" si="16"/>
        <v>3.42</v>
      </c>
      <c r="I212" s="100"/>
      <c r="J212" s="100"/>
      <c r="K212" s="100"/>
      <c r="L212" s="100"/>
      <c r="M212" s="100"/>
      <c r="N212" s="101"/>
      <c r="O212" s="48" t="s">
        <v>303</v>
      </c>
      <c r="P212" s="48" t="s">
        <v>303</v>
      </c>
      <c r="Q212" s="48" t="s">
        <v>78</v>
      </c>
      <c r="R212" s="102" t="s">
        <v>79</v>
      </c>
      <c r="S212" s="103" t="e">
        <f t="shared" si="17"/>
        <v>#REF!</v>
      </c>
      <c r="T212" s="104" t="e">
        <f t="shared" si="18"/>
        <v>#REF!</v>
      </c>
      <c r="U212" s="66">
        <f>SUM(U8:U211)</f>
        <v>1440</v>
      </c>
    </row>
    <row r="213" ht="18.95" customHeight="1" spans="1:21">
      <c r="A213" s="94"/>
      <c r="B213" s="47" t="s">
        <v>304</v>
      </c>
      <c r="C213" s="95"/>
      <c r="D213" s="96"/>
      <c r="E213" s="48"/>
      <c r="F213" s="99"/>
      <c r="G213" s="99"/>
      <c r="H213" s="99" t="e">
        <f>SUM(S8:S212)-SUM(H8:H212)</f>
        <v>#REF!</v>
      </c>
      <c r="I213" s="100"/>
      <c r="J213" s="100"/>
      <c r="K213" s="100"/>
      <c r="L213" s="100"/>
      <c r="M213" s="100"/>
      <c r="N213" s="101"/>
      <c r="O213" s="48"/>
      <c r="P213" s="48"/>
      <c r="Q213" s="48"/>
      <c r="R213" s="102"/>
      <c r="S213" s="103" t="e">
        <f>SUM(S8:S212)</f>
        <v>#REF!</v>
      </c>
      <c r="T213" s="103"/>
    </row>
    <row r="214" ht="18.95" customHeight="1" spans="1:21">
      <c r="A214" s="94"/>
      <c r="B214" s="47" t="s">
        <v>305</v>
      </c>
      <c r="C214" s="95"/>
      <c r="D214" s="96"/>
      <c r="E214" s="48">
        <v>12</v>
      </c>
      <c r="F214" s="99"/>
      <c r="G214" s="99"/>
      <c r="H214" s="99"/>
      <c r="I214" s="100"/>
      <c r="J214" s="100"/>
      <c r="K214" s="100"/>
      <c r="L214" s="100"/>
      <c r="M214" s="100"/>
      <c r="N214" s="101"/>
      <c r="O214" s="48"/>
      <c r="P214" s="48"/>
      <c r="Q214" s="48"/>
      <c r="R214" s="102"/>
      <c r="T214" s="104"/>
    </row>
    <row r="215" ht="18.95" customHeight="1" spans="1:21">
      <c r="A215" s="94"/>
      <c r="B215" s="47" t="s">
        <v>306</v>
      </c>
      <c r="C215" s="95"/>
      <c r="D215" s="96"/>
      <c r="E215" s="48"/>
      <c r="F215" s="99"/>
      <c r="G215" s="99"/>
      <c r="H215" s="99"/>
      <c r="I215" s="100"/>
      <c r="J215" s="100"/>
      <c r="K215" s="100"/>
      <c r="L215" s="100"/>
      <c r="M215" s="100"/>
      <c r="N215" s="101"/>
      <c r="O215" s="48"/>
      <c r="P215" s="48"/>
      <c r="Q215" s="48"/>
      <c r="R215" s="102"/>
      <c r="T215" s="104"/>
    </row>
    <row r="216" ht="18.95" customHeight="1" spans="1:21">
      <c r="A216" s="94"/>
      <c r="B216" s="47" t="s">
        <v>307</v>
      </c>
      <c r="C216" s="95"/>
      <c r="D216" s="96"/>
      <c r="E216" s="48"/>
      <c r="F216" s="99"/>
      <c r="G216" s="99"/>
      <c r="H216" s="99"/>
      <c r="I216" s="100"/>
      <c r="J216" s="100"/>
      <c r="K216" s="100"/>
      <c r="L216" s="100"/>
      <c r="M216" s="100"/>
      <c r="N216" s="101"/>
      <c r="O216" s="48"/>
      <c r="P216" s="48"/>
      <c r="Q216" s="48"/>
      <c r="R216" s="102"/>
      <c r="T216" s="104"/>
    </row>
    <row r="217" ht="18.95" customHeight="1" spans="1:21">
      <c r="A217" s="94"/>
      <c r="B217" s="47" t="s">
        <v>308</v>
      </c>
      <c r="C217" s="95"/>
      <c r="D217" s="96"/>
      <c r="E217" s="48"/>
      <c r="F217" s="99"/>
      <c r="G217" s="99"/>
      <c r="H217" s="47"/>
      <c r="I217" s="100"/>
      <c r="J217" s="100"/>
      <c r="K217" s="100"/>
      <c r="L217" s="100"/>
      <c r="M217" s="100"/>
      <c r="N217" s="101"/>
      <c r="O217" s="48"/>
      <c r="P217" s="48"/>
      <c r="Q217" s="48"/>
      <c r="R217" s="102"/>
      <c r="T217" s="104"/>
    </row>
    <row r="218" ht="18.95" customHeight="1" spans="1:21">
      <c r="A218" s="94"/>
      <c r="B218" s="109" t="s">
        <v>22</v>
      </c>
      <c r="C218" s="110"/>
      <c r="D218" s="111"/>
      <c r="E218" s="112"/>
      <c r="F218" s="99"/>
      <c r="G218" s="99"/>
      <c r="H218" s="112"/>
      <c r="I218" s="113"/>
      <c r="J218" s="113"/>
      <c r="K218" s="113"/>
      <c r="L218" s="113"/>
      <c r="M218" s="113"/>
      <c r="N218" s="113">
        <f>SUM(N8:N217)</f>
        <v>245611.42365</v>
      </c>
      <c r="O218" s="112"/>
      <c r="P218" s="112"/>
      <c r="Q218" s="112"/>
      <c r="R218" s="102"/>
      <c r="T218" s="104"/>
    </row>
    <row r="219" ht="18.95" customHeight="1" spans="1:21">
      <c r="A219" s="114"/>
      <c r="B219" s="115" t="s">
        <v>309</v>
      </c>
      <c r="C219" s="115"/>
      <c r="D219" s="115"/>
      <c r="E219" s="115"/>
      <c r="F219" s="116"/>
      <c r="G219" s="116"/>
      <c r="H219" s="115"/>
      <c r="I219" s="117" t="s">
        <v>45</v>
      </c>
      <c r="J219" s="117"/>
      <c r="K219" s="117"/>
      <c r="L219" s="117"/>
      <c r="M219" s="117"/>
      <c r="N219" s="118">
        <f ca="1">NOW()</f>
        <v>46225.6777546296</v>
      </c>
      <c r="O219" s="118"/>
      <c r="P219" s="119"/>
      <c r="Q219" s="119"/>
      <c r="R219" s="119"/>
    </row>
    <row r="220" ht="18.95" customHeight="1" spans="1:21">
      <c r="A220" s="114"/>
      <c r="B220" s="120" t="s">
        <v>310</v>
      </c>
      <c r="C220" s="115"/>
      <c r="D220" s="115"/>
      <c r="E220" s="115"/>
      <c r="F220" s="116"/>
      <c r="G220" s="116"/>
      <c r="H220" s="115"/>
      <c r="I220" s="121"/>
      <c r="J220" s="121"/>
      <c r="K220" s="121"/>
      <c r="L220" s="121"/>
      <c r="M220" s="121"/>
      <c r="N220" s="115"/>
      <c r="O220" s="122"/>
      <c r="P220" s="119"/>
      <c r="Q220" s="119"/>
      <c r="R220" s="119"/>
    </row>
    <row r="221" ht="18.95" customHeight="1" spans="1:21">
      <c r="A221" s="114"/>
      <c r="B221" s="115" t="s">
        <v>311</v>
      </c>
      <c r="C221" s="115"/>
      <c r="D221" s="115"/>
      <c r="E221" s="115"/>
      <c r="F221" s="116"/>
      <c r="G221" s="116"/>
      <c r="H221" s="115"/>
      <c r="I221" s="121"/>
      <c r="J221" s="121"/>
      <c r="K221" s="121"/>
      <c r="L221" s="121"/>
      <c r="M221" s="121"/>
      <c r="N221" s="115"/>
      <c r="O221" s="122"/>
      <c r="P221" s="119"/>
      <c r="Q221" s="119"/>
      <c r="R221" s="119"/>
    </row>
    <row r="222" spans="1:21">
      <c r="A222" s="114"/>
      <c r="B222" s="115"/>
      <c r="C222" s="115"/>
      <c r="D222" s="115"/>
      <c r="E222" s="115"/>
      <c r="F222" s="115"/>
      <c r="G222" s="115"/>
      <c r="H222" s="115"/>
      <c r="I222" s="121"/>
      <c r="J222" s="121"/>
      <c r="K222" s="121"/>
      <c r="L222" s="121"/>
      <c r="M222" s="121"/>
      <c r="N222" s="115"/>
    </row>
  </sheetData>
  <protectedRanges>
    <protectedRange sqref="Q8:Q217" name="内容_1_2"/>
  </protectedRanges>
  <mergeCells count="221">
    <mergeCell ref="N2:R2"/>
    <mergeCell ref="N3:R3"/>
    <mergeCell ref="A4:B4"/>
    <mergeCell ref="N4:R4"/>
    <mergeCell ref="A5:B5"/>
    <mergeCell ref="N5:R5"/>
    <mergeCell ref="A6:B6"/>
    <mergeCell ref="C6:R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N219:O219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4098" progId="AutoCAD.Drawing.24" r:id="rId3">
          <objectPr defaultSize="0" r:id="rId4">
            <anchor moveWithCells="1">
              <from>
                <xdr:col>13</xdr:col>
                <xdr:colOff>247650</xdr:colOff>
                <xdr:row>216</xdr:row>
                <xdr:rowOff>95250</xdr:rowOff>
              </from>
              <to>
                <xdr:col>15</xdr:col>
                <xdr:colOff>723900</xdr:colOff>
                <xdr:row>220</xdr:row>
                <xdr:rowOff>152400</xdr:rowOff>
              </to>
            </anchor>
          </objectPr>
        </oleObject>
      </mc:Choice>
      <mc:Fallback>
        <oleObject shapeId="4098" progId="AutoCAD.Drawing.24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195"/>
  <sheetViews>
    <sheetView tabSelected="1" topLeftCell="A167" workbookViewId="0">
      <selection activeCell="Q194" sqref="Q194:Q195"/>
    </sheetView>
  </sheetViews>
  <sheetFormatPr defaultColWidth="9" defaultRowHeight="20" customHeight="1"/>
  <cols>
    <col min="1" max="1" width="9" style="37"/>
    <col min="2" max="2" width="14.875" style="37" customWidth="1"/>
    <col min="3" max="3" width="14.875" style="37" hidden="1" customWidth="1"/>
    <col min="4" max="4" width="18" style="37" customWidth="1"/>
    <col min="5" max="5" width="19.75" style="37" customWidth="1"/>
    <col min="6" max="8" width="9" style="37" hidden="1" customWidth="1"/>
    <col min="9" max="11" width="9" style="37"/>
    <col min="12" max="12" width="13.125" style="37" customWidth="1"/>
    <col min="13" max="13" width="7" style="37" customWidth="1"/>
    <col min="14" max="14" width="7.625" style="37" customWidth="1"/>
    <col min="15" max="15" width="14.25" style="37" customWidth="1"/>
    <col min="16" max="16" width="9.375" style="37"/>
    <col min="17" max="17" width="24.5" style="37" customWidth="1"/>
    <col min="18" max="18" width="6.5" style="52" customWidth="1"/>
    <col min="19" max="21" width="24.5" style="37" customWidth="1"/>
    <col min="22" max="16384" width="9" style="37"/>
  </cols>
  <sheetData>
    <row r="1" s="37" customFormat="1" customHeight="1" spans="1:18">
      <c r="A1" s="39" t="s">
        <v>312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40"/>
      <c r="P1" s="39"/>
      <c r="R1" s="52"/>
    </row>
    <row r="2" s="37" customFormat="1" customHeight="1" spans="1:18">
      <c r="A2" s="41" t="s">
        <v>313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37" t="s">
        <v>314</v>
      </c>
      <c r="R2" s="52"/>
    </row>
    <row r="3" s="37" customFormat="1" customHeight="1" spans="1:18">
      <c r="A3" s="42" t="s">
        <v>11</v>
      </c>
      <c r="B3" s="42" t="s">
        <v>57</v>
      </c>
      <c r="C3" s="42" t="s">
        <v>315</v>
      </c>
      <c r="D3" s="42" t="s">
        <v>316</v>
      </c>
      <c r="E3" s="42" t="s">
        <v>70</v>
      </c>
      <c r="F3" s="42" t="s">
        <v>317</v>
      </c>
      <c r="G3" s="42" t="s">
        <v>318</v>
      </c>
      <c r="H3" s="42" t="s">
        <v>319</v>
      </c>
      <c r="I3" s="42" t="s">
        <v>320</v>
      </c>
      <c r="J3" s="42" t="s">
        <v>321</v>
      </c>
      <c r="K3" s="42" t="s">
        <v>322</v>
      </c>
      <c r="L3" s="42" t="s">
        <v>323</v>
      </c>
      <c r="M3" s="42" t="s">
        <v>17</v>
      </c>
      <c r="N3" s="42" t="s">
        <v>324</v>
      </c>
      <c r="O3" s="44" t="s">
        <v>325</v>
      </c>
      <c r="P3" s="45" t="s">
        <v>326</v>
      </c>
      <c r="R3" s="52"/>
    </row>
    <row r="4" s="37" customFormat="1" customHeight="1" spans="1:18">
      <c r="A4" s="46">
        <v>1</v>
      </c>
      <c r="B4" s="47" t="s">
        <v>105</v>
      </c>
      <c r="C4" s="46"/>
      <c r="D4" s="48" t="s">
        <v>125</v>
      </c>
      <c r="E4" s="48" t="s">
        <v>124</v>
      </c>
      <c r="F4" s="49"/>
      <c r="G4" s="49"/>
      <c r="H4" s="49"/>
      <c r="I4" s="7">
        <v>250</v>
      </c>
      <c r="J4" s="7">
        <v>250</v>
      </c>
      <c r="K4" s="7">
        <v>1421</v>
      </c>
      <c r="L4" s="50">
        <v>86.383</v>
      </c>
      <c r="M4" s="42">
        <v>3</v>
      </c>
      <c r="N4" s="49" t="s">
        <v>327</v>
      </c>
      <c r="O4" s="44">
        <f>L4*M4</f>
        <v>259.149</v>
      </c>
      <c r="P4" s="49"/>
      <c r="R4" s="52"/>
    </row>
    <row r="5" s="37" customFormat="1" customHeight="1" spans="1:18">
      <c r="A5" s="46">
        <v>2</v>
      </c>
      <c r="B5" s="47" t="s">
        <v>105</v>
      </c>
      <c r="C5" s="46"/>
      <c r="D5" s="48" t="s">
        <v>126</v>
      </c>
      <c r="E5" s="48" t="s">
        <v>124</v>
      </c>
      <c r="F5" s="49" t="s">
        <v>328</v>
      </c>
      <c r="G5" s="49" t="s">
        <v>329</v>
      </c>
      <c r="H5" s="49" t="s">
        <v>329</v>
      </c>
      <c r="I5" s="7">
        <v>250</v>
      </c>
      <c r="J5" s="7">
        <v>250</v>
      </c>
      <c r="K5" s="7">
        <v>881</v>
      </c>
      <c r="L5" s="50">
        <v>53.556</v>
      </c>
      <c r="M5" s="42">
        <v>5</v>
      </c>
      <c r="N5" s="49" t="s">
        <v>327</v>
      </c>
      <c r="O5" s="44">
        <f t="shared" ref="O4:O9" si="0">L5*M5</f>
        <v>267.78</v>
      </c>
      <c r="P5" s="49"/>
      <c r="R5" s="52"/>
    </row>
    <row r="6" s="37" customFormat="1" customHeight="1" spans="1:18">
      <c r="A6" s="46">
        <v>3</v>
      </c>
      <c r="B6" s="47" t="s">
        <v>105</v>
      </c>
      <c r="C6" s="46"/>
      <c r="D6" s="48" t="s">
        <v>128</v>
      </c>
      <c r="E6" s="48" t="s">
        <v>124</v>
      </c>
      <c r="F6" s="49"/>
      <c r="G6" s="49"/>
      <c r="H6" s="49"/>
      <c r="I6" s="7">
        <v>250</v>
      </c>
      <c r="J6" s="7">
        <v>250</v>
      </c>
      <c r="K6" s="7">
        <v>1410</v>
      </c>
      <c r="L6" s="50">
        <v>85.714</v>
      </c>
      <c r="M6" s="42">
        <v>9</v>
      </c>
      <c r="N6" s="49" t="s">
        <v>327</v>
      </c>
      <c r="O6" s="44">
        <f t="shared" si="0"/>
        <v>771.426</v>
      </c>
      <c r="P6" s="49"/>
      <c r="R6" s="52"/>
    </row>
    <row r="7" s="37" customFormat="1" customHeight="1" spans="1:18">
      <c r="A7" s="46">
        <v>4</v>
      </c>
      <c r="B7" s="47" t="s">
        <v>105</v>
      </c>
      <c r="C7" s="46"/>
      <c r="D7" s="48" t="s">
        <v>129</v>
      </c>
      <c r="E7" s="48" t="s">
        <v>124</v>
      </c>
      <c r="F7" s="49"/>
      <c r="G7" s="49"/>
      <c r="H7" s="49"/>
      <c r="I7" s="7">
        <v>250</v>
      </c>
      <c r="J7" s="7">
        <v>250</v>
      </c>
      <c r="K7" s="7">
        <v>1307</v>
      </c>
      <c r="L7" s="50">
        <v>79.453</v>
      </c>
      <c r="M7" s="42">
        <v>1</v>
      </c>
      <c r="N7" s="49" t="s">
        <v>327</v>
      </c>
      <c r="O7" s="44">
        <f t="shared" si="0"/>
        <v>79.453</v>
      </c>
      <c r="P7" s="49"/>
      <c r="R7" s="52"/>
    </row>
    <row r="8" s="37" customFormat="1" customHeight="1" spans="1:18">
      <c r="A8" s="46">
        <v>5</v>
      </c>
      <c r="B8" s="47" t="s">
        <v>105</v>
      </c>
      <c r="C8" s="46"/>
      <c r="D8" s="48" t="s">
        <v>133</v>
      </c>
      <c r="E8" s="48" t="s">
        <v>133</v>
      </c>
      <c r="F8" s="49" t="s">
        <v>328</v>
      </c>
      <c r="G8" s="49" t="s">
        <v>329</v>
      </c>
      <c r="H8" s="49" t="s">
        <v>329</v>
      </c>
      <c r="I8" s="7">
        <v>250</v>
      </c>
      <c r="J8" s="7">
        <v>250</v>
      </c>
      <c r="K8" s="7">
        <v>1410</v>
      </c>
      <c r="L8" s="50">
        <v>85.714</v>
      </c>
      <c r="M8" s="42">
        <v>2</v>
      </c>
      <c r="N8" s="49" t="s">
        <v>327</v>
      </c>
      <c r="O8" s="44">
        <f t="shared" si="0"/>
        <v>171.428</v>
      </c>
      <c r="P8" s="49"/>
      <c r="R8" s="52"/>
    </row>
    <row r="9" s="37" customFormat="1" customHeight="1" spans="1:18">
      <c r="A9" s="46">
        <v>6</v>
      </c>
      <c r="B9" s="47" t="s">
        <v>105</v>
      </c>
      <c r="C9" s="46"/>
      <c r="D9" s="48" t="s">
        <v>135</v>
      </c>
      <c r="E9" s="48" t="s">
        <v>135</v>
      </c>
      <c r="F9" s="49"/>
      <c r="G9" s="49"/>
      <c r="H9" s="49"/>
      <c r="I9" s="7">
        <v>250</v>
      </c>
      <c r="J9" s="7">
        <v>250</v>
      </c>
      <c r="K9" s="7">
        <v>1410</v>
      </c>
      <c r="L9" s="50">
        <v>85.714</v>
      </c>
      <c r="M9" s="42">
        <v>1</v>
      </c>
      <c r="N9" s="49" t="s">
        <v>327</v>
      </c>
      <c r="O9" s="44">
        <f t="shared" si="0"/>
        <v>85.714</v>
      </c>
      <c r="P9" s="49"/>
      <c r="R9" s="52"/>
    </row>
    <row r="10" s="37" customFormat="1" customHeight="1" spans="1:18">
      <c r="A10" s="46">
        <v>7</v>
      </c>
      <c r="B10" s="47" t="s">
        <v>105</v>
      </c>
      <c r="C10" s="46"/>
      <c r="D10" s="48" t="s">
        <v>138</v>
      </c>
      <c r="E10" s="48" t="s">
        <v>139</v>
      </c>
      <c r="F10" s="49"/>
      <c r="G10" s="49"/>
      <c r="H10" s="49"/>
      <c r="I10" s="7">
        <v>120</v>
      </c>
      <c r="J10" s="7">
        <v>1220</v>
      </c>
      <c r="K10" s="7">
        <v>1410</v>
      </c>
      <c r="L10" s="50">
        <v>30.283</v>
      </c>
      <c r="M10" s="42">
        <v>2</v>
      </c>
      <c r="N10" s="49" t="s">
        <v>327</v>
      </c>
      <c r="O10" s="44">
        <f t="shared" ref="O10:O14" si="1">L10*M10</f>
        <v>60.566</v>
      </c>
      <c r="P10" s="49"/>
      <c r="R10" s="52"/>
    </row>
    <row r="11" s="37" customFormat="1" customHeight="1" spans="1:18">
      <c r="A11" s="46">
        <v>8</v>
      </c>
      <c r="B11" s="47" t="s">
        <v>105</v>
      </c>
      <c r="C11" s="46"/>
      <c r="D11" s="48" t="s">
        <v>143</v>
      </c>
      <c r="E11" s="48" t="s">
        <v>139</v>
      </c>
      <c r="F11" s="49" t="s">
        <v>328</v>
      </c>
      <c r="G11" s="49" t="s">
        <v>329</v>
      </c>
      <c r="H11" s="49" t="s">
        <v>329</v>
      </c>
      <c r="I11" s="7">
        <v>120</v>
      </c>
      <c r="J11" s="7">
        <v>120</v>
      </c>
      <c r="K11" s="7">
        <v>1470</v>
      </c>
      <c r="L11" s="50">
        <v>31.572</v>
      </c>
      <c r="M11" s="42">
        <v>1</v>
      </c>
      <c r="N11" s="49" t="s">
        <v>327</v>
      </c>
      <c r="O11" s="44">
        <f t="shared" si="1"/>
        <v>31.572</v>
      </c>
      <c r="P11" s="49"/>
      <c r="R11" s="52"/>
    </row>
    <row r="12" s="37" customFormat="1" customHeight="1" spans="1:18">
      <c r="A12" s="46">
        <v>9</v>
      </c>
      <c r="B12" s="47" t="s">
        <v>105</v>
      </c>
      <c r="C12" s="46"/>
      <c r="D12" s="48" t="s">
        <v>144</v>
      </c>
      <c r="E12" s="48" t="s">
        <v>139</v>
      </c>
      <c r="F12" s="49"/>
      <c r="G12" s="49"/>
      <c r="H12" s="49"/>
      <c r="I12" s="7">
        <v>120</v>
      </c>
      <c r="J12" s="7">
        <v>120</v>
      </c>
      <c r="K12" s="7">
        <v>1520</v>
      </c>
      <c r="L12" s="50">
        <v>32.646</v>
      </c>
      <c r="M12" s="42">
        <v>3</v>
      </c>
      <c r="N12" s="49" t="s">
        <v>327</v>
      </c>
      <c r="O12" s="44">
        <f t="shared" si="1"/>
        <v>97.938</v>
      </c>
      <c r="P12" s="49"/>
      <c r="Q12" s="37" t="s">
        <v>330</v>
      </c>
      <c r="R12" s="52"/>
    </row>
    <row r="13" s="37" customFormat="1" customHeight="1" spans="1:18">
      <c r="A13" s="46">
        <v>10</v>
      </c>
      <c r="B13" s="47" t="s">
        <v>105</v>
      </c>
      <c r="C13" s="46"/>
      <c r="D13" s="48" t="s">
        <v>145</v>
      </c>
      <c r="E13" s="48" t="s">
        <v>139</v>
      </c>
      <c r="F13" s="49" t="s">
        <v>328</v>
      </c>
      <c r="G13" s="49" t="s">
        <v>329</v>
      </c>
      <c r="H13" s="49" t="s">
        <v>329</v>
      </c>
      <c r="I13" s="7">
        <v>120</v>
      </c>
      <c r="J13" s="7">
        <v>120</v>
      </c>
      <c r="K13" s="7">
        <v>1840</v>
      </c>
      <c r="L13" s="50">
        <v>39.519</v>
      </c>
      <c r="M13" s="42">
        <v>2</v>
      </c>
      <c r="N13" s="49" t="s">
        <v>327</v>
      </c>
      <c r="O13" s="44">
        <f t="shared" si="1"/>
        <v>79.038</v>
      </c>
      <c r="P13" s="49"/>
      <c r="R13" s="52"/>
    </row>
    <row r="14" s="37" customFormat="1" customHeight="1" spans="1:18">
      <c r="A14" s="46">
        <v>11</v>
      </c>
      <c r="B14" s="47" t="s">
        <v>105</v>
      </c>
      <c r="C14" s="46"/>
      <c r="D14" s="48" t="s">
        <v>147</v>
      </c>
      <c r="E14" s="48" t="s">
        <v>139</v>
      </c>
      <c r="F14" s="49"/>
      <c r="G14" s="49"/>
      <c r="H14" s="49"/>
      <c r="I14" s="7">
        <v>120</v>
      </c>
      <c r="J14" s="7">
        <v>120</v>
      </c>
      <c r="K14" s="7">
        <v>995</v>
      </c>
      <c r="L14" s="50">
        <v>21.37</v>
      </c>
      <c r="M14" s="42">
        <v>2</v>
      </c>
      <c r="N14" s="49" t="s">
        <v>327</v>
      </c>
      <c r="O14" s="44">
        <f t="shared" si="1"/>
        <v>42.74</v>
      </c>
      <c r="P14" s="49"/>
      <c r="Q14" s="37">
        <f>1750*1100*1000/1000000000</f>
        <v>1.925</v>
      </c>
      <c r="R14" s="52" t="s">
        <v>331</v>
      </c>
    </row>
    <row r="15" s="37" customFormat="1" customHeight="1" spans="1:18">
      <c r="A15" s="46">
        <v>12</v>
      </c>
      <c r="B15" s="47" t="s">
        <v>105</v>
      </c>
      <c r="C15" s="46"/>
      <c r="D15" s="48" t="s">
        <v>148</v>
      </c>
      <c r="E15" s="48" t="s">
        <v>139</v>
      </c>
      <c r="F15" s="49"/>
      <c r="G15" s="49"/>
      <c r="H15" s="49"/>
      <c r="I15" s="7">
        <v>120</v>
      </c>
      <c r="J15" s="7">
        <v>120</v>
      </c>
      <c r="K15" s="7">
        <v>1168</v>
      </c>
      <c r="L15" s="50">
        <v>25.086</v>
      </c>
      <c r="M15" s="42">
        <v>1</v>
      </c>
      <c r="N15" s="49" t="s">
        <v>327</v>
      </c>
      <c r="O15" s="44">
        <f t="shared" ref="O15:O17" si="2">L15*M15</f>
        <v>25.086</v>
      </c>
      <c r="P15" s="49"/>
      <c r="R15" s="52"/>
    </row>
    <row r="16" s="37" customFormat="1" customHeight="1" spans="1:18">
      <c r="A16" s="46">
        <v>13</v>
      </c>
      <c r="B16" s="47" t="s">
        <v>105</v>
      </c>
      <c r="C16" s="46"/>
      <c r="D16" s="48" t="s">
        <v>166</v>
      </c>
      <c r="E16" s="48" t="s">
        <v>166</v>
      </c>
      <c r="F16" s="49" t="s">
        <v>328</v>
      </c>
      <c r="G16" s="49" t="s">
        <v>329</v>
      </c>
      <c r="H16" s="49" t="s">
        <v>329</v>
      </c>
      <c r="I16" s="7">
        <v>120</v>
      </c>
      <c r="J16" s="7">
        <v>120</v>
      </c>
      <c r="K16" s="7">
        <v>1520</v>
      </c>
      <c r="L16" s="50">
        <v>32.646</v>
      </c>
      <c r="M16" s="42">
        <v>1</v>
      </c>
      <c r="N16" s="49" t="s">
        <v>327</v>
      </c>
      <c r="O16" s="44">
        <f t="shared" si="2"/>
        <v>32.646</v>
      </c>
      <c r="P16" s="49"/>
      <c r="R16" s="52"/>
    </row>
    <row r="17" s="37" customFormat="1" customHeight="1" spans="1:18">
      <c r="A17" s="46">
        <v>14</v>
      </c>
      <c r="B17" s="47" t="s">
        <v>254</v>
      </c>
      <c r="C17" s="46"/>
      <c r="D17" s="48" t="s">
        <v>264</v>
      </c>
      <c r="E17" s="48" t="s">
        <v>259</v>
      </c>
      <c r="F17" s="49"/>
      <c r="G17" s="49"/>
      <c r="H17" s="49"/>
      <c r="I17" s="7">
        <v>50</v>
      </c>
      <c r="J17" s="7">
        <v>50</v>
      </c>
      <c r="K17" s="7">
        <v>1197</v>
      </c>
      <c r="L17" s="50">
        <v>3.662</v>
      </c>
      <c r="M17" s="42">
        <v>46</v>
      </c>
      <c r="N17" s="49" t="s">
        <v>327</v>
      </c>
      <c r="O17" s="44">
        <f t="shared" si="2"/>
        <v>168.452</v>
      </c>
      <c r="P17" s="49"/>
      <c r="R17" s="52"/>
    </row>
    <row r="18" s="37" customFormat="1" customHeight="1" spans="1:18">
      <c r="A18" s="46"/>
      <c r="B18" s="42"/>
      <c r="C18" s="42"/>
      <c r="D18" s="45" t="s">
        <v>332</v>
      </c>
      <c r="E18" s="45"/>
      <c r="F18" s="42"/>
      <c r="G18" s="42"/>
      <c r="H18" s="42"/>
      <c r="I18" s="59">
        <v>1100</v>
      </c>
      <c r="J18" s="42">
        <v>1100</v>
      </c>
      <c r="K18" s="42">
        <v>1750</v>
      </c>
      <c r="L18" s="42"/>
      <c r="M18" s="42">
        <v>1</v>
      </c>
      <c r="N18" s="61"/>
      <c r="O18" s="53">
        <v>79.5</v>
      </c>
      <c r="P18" s="45"/>
      <c r="R18" s="52"/>
    </row>
    <row r="19" s="37" customFormat="1" customHeight="1" spans="1:18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>
        <f>SUM(M4:M17)</f>
        <v>79</v>
      </c>
      <c r="N19" s="62"/>
      <c r="O19" s="63">
        <f>SUM(O4:O18)</f>
        <v>2252.488</v>
      </c>
      <c r="P19" s="64"/>
      <c r="R19" s="52"/>
    </row>
    <row r="23" s="37" customFormat="1" customHeight="1" spans="1:18">
      <c r="A23" s="39" t="s">
        <v>312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40"/>
      <c r="P23" s="39"/>
      <c r="Q23" s="37" t="s">
        <v>333</v>
      </c>
      <c r="R23" s="52"/>
    </row>
    <row r="24" s="37" customFormat="1" customHeight="1" spans="1:18">
      <c r="A24" s="41" t="s">
        <v>334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R24" s="52"/>
    </row>
    <row r="25" s="37" customFormat="1" customHeight="1" spans="1:18">
      <c r="A25" s="42" t="s">
        <v>11</v>
      </c>
      <c r="B25" s="42" t="s">
        <v>57</v>
      </c>
      <c r="C25" s="42" t="s">
        <v>315</v>
      </c>
      <c r="D25" s="42" t="s">
        <v>316</v>
      </c>
      <c r="E25" s="42" t="s">
        <v>70</v>
      </c>
      <c r="F25" s="42" t="s">
        <v>317</v>
      </c>
      <c r="G25" s="42" t="s">
        <v>318</v>
      </c>
      <c r="H25" s="42" t="s">
        <v>319</v>
      </c>
      <c r="I25" s="42" t="s">
        <v>320</v>
      </c>
      <c r="J25" s="42" t="s">
        <v>321</v>
      </c>
      <c r="K25" s="42" t="s">
        <v>322</v>
      </c>
      <c r="L25" s="42" t="s">
        <v>323</v>
      </c>
      <c r="M25" s="42" t="s">
        <v>17</v>
      </c>
      <c r="N25" s="42" t="s">
        <v>324</v>
      </c>
      <c r="O25" s="44" t="s">
        <v>325</v>
      </c>
      <c r="P25" s="45" t="s">
        <v>326</v>
      </c>
      <c r="R25" s="52"/>
    </row>
    <row r="26" s="37" customFormat="1" customHeight="1" spans="1:18">
      <c r="A26" s="46">
        <v>1</v>
      </c>
      <c r="B26" s="47" t="s">
        <v>105</v>
      </c>
      <c r="C26" s="46"/>
      <c r="D26" s="48" t="s">
        <v>125</v>
      </c>
      <c r="E26" s="48" t="s">
        <v>124</v>
      </c>
      <c r="F26" s="49"/>
      <c r="G26" s="49"/>
      <c r="H26" s="49"/>
      <c r="I26" s="7">
        <v>250</v>
      </c>
      <c r="J26" s="7">
        <v>250</v>
      </c>
      <c r="K26" s="7">
        <v>1421</v>
      </c>
      <c r="L26" s="50">
        <v>86.383</v>
      </c>
      <c r="M26" s="65">
        <v>2</v>
      </c>
      <c r="N26" s="49" t="s">
        <v>327</v>
      </c>
      <c r="O26" s="44">
        <f>L26*M26</f>
        <v>172.766</v>
      </c>
      <c r="P26" s="49"/>
      <c r="R26" s="52"/>
    </row>
    <row r="27" s="37" customFormat="1" customHeight="1" spans="1:18">
      <c r="A27" s="46">
        <v>2</v>
      </c>
      <c r="B27" s="47" t="s">
        <v>105</v>
      </c>
      <c r="C27" s="46"/>
      <c r="D27" s="48" t="s">
        <v>128</v>
      </c>
      <c r="E27" s="48" t="s">
        <v>124</v>
      </c>
      <c r="F27" s="49"/>
      <c r="G27" s="49"/>
      <c r="H27" s="49"/>
      <c r="I27" s="7">
        <v>250</v>
      </c>
      <c r="J27" s="7">
        <v>250</v>
      </c>
      <c r="K27" s="7">
        <v>1410</v>
      </c>
      <c r="L27" s="50">
        <v>85.714</v>
      </c>
      <c r="M27" s="65">
        <v>6</v>
      </c>
      <c r="N27" s="49" t="s">
        <v>327</v>
      </c>
      <c r="O27" s="44">
        <f t="shared" ref="O27:O57" si="3">L27*M27</f>
        <v>514.284</v>
      </c>
      <c r="P27" s="49"/>
      <c r="R27" s="52"/>
    </row>
    <row r="28" s="37" customFormat="1" customHeight="1" spans="1:18">
      <c r="A28" s="46">
        <v>3</v>
      </c>
      <c r="B28" s="47" t="s">
        <v>105</v>
      </c>
      <c r="C28" s="46"/>
      <c r="D28" s="48" t="s">
        <v>129</v>
      </c>
      <c r="E28" s="48" t="s">
        <v>124</v>
      </c>
      <c r="F28" s="49"/>
      <c r="G28" s="49"/>
      <c r="H28" s="49"/>
      <c r="I28" s="7">
        <v>250</v>
      </c>
      <c r="J28" s="7">
        <v>250</v>
      </c>
      <c r="K28" s="7">
        <v>1307</v>
      </c>
      <c r="L28" s="50">
        <v>79.453</v>
      </c>
      <c r="M28" s="65">
        <v>3</v>
      </c>
      <c r="N28" s="49" t="s">
        <v>327</v>
      </c>
      <c r="O28" s="44">
        <f t="shared" si="3"/>
        <v>238.359</v>
      </c>
      <c r="P28" s="49"/>
      <c r="R28" s="52"/>
    </row>
    <row r="29" s="37" customFormat="1" customHeight="1" spans="1:18">
      <c r="A29" s="46">
        <v>4</v>
      </c>
      <c r="B29" s="47" t="s">
        <v>105</v>
      </c>
      <c r="C29" s="46"/>
      <c r="D29" s="48" t="s">
        <v>135</v>
      </c>
      <c r="E29" s="48" t="s">
        <v>135</v>
      </c>
      <c r="F29" s="49"/>
      <c r="G29" s="49"/>
      <c r="H29" s="49"/>
      <c r="I29" s="7">
        <v>250</v>
      </c>
      <c r="J29" s="7">
        <v>250</v>
      </c>
      <c r="K29" s="7">
        <v>1410</v>
      </c>
      <c r="L29" s="50">
        <v>85.714</v>
      </c>
      <c r="M29" s="65">
        <v>1</v>
      </c>
      <c r="N29" s="49" t="s">
        <v>327</v>
      </c>
      <c r="O29" s="44">
        <f t="shared" si="3"/>
        <v>85.714</v>
      </c>
      <c r="P29" s="49"/>
      <c r="R29" s="52"/>
    </row>
    <row r="30" s="37" customFormat="1" customHeight="1" spans="1:18">
      <c r="A30" s="46">
        <v>5</v>
      </c>
      <c r="B30" s="47" t="s">
        <v>105</v>
      </c>
      <c r="C30" s="46"/>
      <c r="D30" s="48" t="s">
        <v>136</v>
      </c>
      <c r="E30" s="48" t="s">
        <v>136</v>
      </c>
      <c r="F30" s="49"/>
      <c r="G30" s="49"/>
      <c r="H30" s="49"/>
      <c r="I30" s="7">
        <v>250</v>
      </c>
      <c r="J30" s="7">
        <v>250</v>
      </c>
      <c r="K30" s="7">
        <v>1410</v>
      </c>
      <c r="L30" s="50">
        <v>85.714</v>
      </c>
      <c r="M30" s="65">
        <v>4</v>
      </c>
      <c r="N30" s="49" t="s">
        <v>327</v>
      </c>
      <c r="O30" s="44">
        <f t="shared" si="3"/>
        <v>342.856</v>
      </c>
      <c r="P30" s="49"/>
      <c r="R30" s="52"/>
    </row>
    <row r="31" s="37" customFormat="1" customHeight="1" spans="1:18">
      <c r="A31" s="46">
        <v>6</v>
      </c>
      <c r="B31" s="47" t="s">
        <v>105</v>
      </c>
      <c r="C31" s="46"/>
      <c r="D31" s="48" t="s">
        <v>137</v>
      </c>
      <c r="E31" s="48" t="s">
        <v>137</v>
      </c>
      <c r="F31" s="49"/>
      <c r="G31" s="49"/>
      <c r="H31" s="49"/>
      <c r="I31" s="7">
        <v>250</v>
      </c>
      <c r="J31" s="7">
        <v>250</v>
      </c>
      <c r="K31" s="7">
        <v>1307</v>
      </c>
      <c r="L31" s="50">
        <v>79.453</v>
      </c>
      <c r="M31" s="65">
        <v>2</v>
      </c>
      <c r="N31" s="49" t="s">
        <v>327</v>
      </c>
      <c r="O31" s="44">
        <f t="shared" si="3"/>
        <v>158.906</v>
      </c>
      <c r="P31" s="49"/>
      <c r="R31" s="52"/>
    </row>
    <row r="32" s="37" customFormat="1" customHeight="1" spans="1:18">
      <c r="A32" s="46">
        <v>7</v>
      </c>
      <c r="B32" s="47" t="s">
        <v>105</v>
      </c>
      <c r="C32" s="46"/>
      <c r="D32" s="48" t="s">
        <v>161</v>
      </c>
      <c r="E32" s="48" t="s">
        <v>162</v>
      </c>
      <c r="F32" s="49"/>
      <c r="G32" s="49"/>
      <c r="H32" s="49"/>
      <c r="I32" s="7">
        <v>1430</v>
      </c>
      <c r="J32" s="7">
        <v>1330</v>
      </c>
      <c r="K32" s="7">
        <v>120</v>
      </c>
      <c r="L32" s="50">
        <v>59.635</v>
      </c>
      <c r="M32" s="65">
        <v>2</v>
      </c>
      <c r="N32" s="49" t="s">
        <v>327</v>
      </c>
      <c r="O32" s="44">
        <f t="shared" si="3"/>
        <v>119.27</v>
      </c>
      <c r="P32" s="49"/>
      <c r="R32" s="52"/>
    </row>
    <row r="33" s="37" customFormat="1" customHeight="1" spans="1:18">
      <c r="A33" s="46">
        <v>8</v>
      </c>
      <c r="B33" s="47" t="s">
        <v>105</v>
      </c>
      <c r="C33" s="46"/>
      <c r="D33" s="48" t="s">
        <v>180</v>
      </c>
      <c r="E33" s="48" t="s">
        <v>179</v>
      </c>
      <c r="F33" s="49"/>
      <c r="G33" s="49"/>
      <c r="H33" s="49"/>
      <c r="I33" s="7">
        <v>80</v>
      </c>
      <c r="J33" s="7">
        <v>80</v>
      </c>
      <c r="K33" s="7">
        <v>1158</v>
      </c>
      <c r="L33" s="50">
        <v>11.054</v>
      </c>
      <c r="M33" s="65">
        <v>16</v>
      </c>
      <c r="N33" s="49" t="s">
        <v>327</v>
      </c>
      <c r="O33" s="44">
        <f t="shared" si="3"/>
        <v>176.864</v>
      </c>
      <c r="P33" s="49"/>
      <c r="R33" s="52"/>
    </row>
    <row r="34" s="37" customFormat="1" customHeight="1" spans="1:18">
      <c r="A34" s="46">
        <v>9</v>
      </c>
      <c r="B34" s="47" t="s">
        <v>105</v>
      </c>
      <c r="C34" s="46"/>
      <c r="D34" s="48" t="s">
        <v>186</v>
      </c>
      <c r="E34" s="48" t="s">
        <v>179</v>
      </c>
      <c r="F34" s="49"/>
      <c r="G34" s="49"/>
      <c r="H34" s="49"/>
      <c r="I34" s="7">
        <v>80</v>
      </c>
      <c r="J34" s="7">
        <v>80</v>
      </c>
      <c r="K34" s="7">
        <v>1119</v>
      </c>
      <c r="L34" s="50">
        <v>10.682</v>
      </c>
      <c r="M34" s="65">
        <v>1</v>
      </c>
      <c r="N34" s="49" t="s">
        <v>327</v>
      </c>
      <c r="O34" s="44">
        <f t="shared" si="3"/>
        <v>10.682</v>
      </c>
      <c r="P34" s="49"/>
      <c r="R34" s="52"/>
    </row>
    <row r="35" s="37" customFormat="1" customHeight="1" spans="1:18">
      <c r="A35" s="46">
        <v>10</v>
      </c>
      <c r="B35" s="47" t="s">
        <v>105</v>
      </c>
      <c r="C35" s="46"/>
      <c r="D35" s="48" t="s">
        <v>187</v>
      </c>
      <c r="E35" s="48" t="s">
        <v>179</v>
      </c>
      <c r="F35" s="49"/>
      <c r="G35" s="49"/>
      <c r="H35" s="49"/>
      <c r="I35" s="7">
        <v>80</v>
      </c>
      <c r="J35" s="7">
        <v>80</v>
      </c>
      <c r="K35" s="7">
        <v>1342</v>
      </c>
      <c r="L35" s="50">
        <v>12.81</v>
      </c>
      <c r="M35" s="65">
        <v>1</v>
      </c>
      <c r="N35" s="49" t="s">
        <v>327</v>
      </c>
      <c r="O35" s="44">
        <f t="shared" si="3"/>
        <v>12.81</v>
      </c>
      <c r="P35" s="49"/>
      <c r="R35" s="52"/>
    </row>
    <row r="36" s="37" customFormat="1" customHeight="1" spans="1:18">
      <c r="A36" s="46">
        <v>11</v>
      </c>
      <c r="B36" s="47" t="s">
        <v>105</v>
      </c>
      <c r="C36" s="46"/>
      <c r="D36" s="48" t="s">
        <v>188</v>
      </c>
      <c r="E36" s="48" t="s">
        <v>179</v>
      </c>
      <c r="F36" s="49"/>
      <c r="G36" s="49"/>
      <c r="H36" s="49"/>
      <c r="I36" s="7">
        <v>80</v>
      </c>
      <c r="J36" s="7">
        <v>80</v>
      </c>
      <c r="K36" s="7">
        <v>1451</v>
      </c>
      <c r="L36" s="50">
        <v>13.851</v>
      </c>
      <c r="M36" s="65">
        <v>8</v>
      </c>
      <c r="N36" s="49" t="s">
        <v>327</v>
      </c>
      <c r="O36" s="44">
        <f t="shared" si="3"/>
        <v>110.808</v>
      </c>
      <c r="P36" s="49"/>
      <c r="R36" s="52"/>
    </row>
    <row r="37" s="37" customFormat="1" customHeight="1" spans="1:18">
      <c r="A37" s="46">
        <v>12</v>
      </c>
      <c r="B37" s="47" t="s">
        <v>105</v>
      </c>
      <c r="C37" s="46"/>
      <c r="D37" s="48" t="s">
        <v>194</v>
      </c>
      <c r="E37" s="48" t="s">
        <v>194</v>
      </c>
      <c r="F37" s="49"/>
      <c r="G37" s="49"/>
      <c r="H37" s="49"/>
      <c r="I37" s="7">
        <v>230</v>
      </c>
      <c r="J37" s="7">
        <v>91</v>
      </c>
      <c r="K37" s="7">
        <v>1415</v>
      </c>
      <c r="L37" s="50">
        <v>20.658</v>
      </c>
      <c r="M37" s="65">
        <v>1</v>
      </c>
      <c r="N37" s="49" t="s">
        <v>327</v>
      </c>
      <c r="O37" s="44">
        <f t="shared" si="3"/>
        <v>20.658</v>
      </c>
      <c r="P37" s="49"/>
      <c r="R37" s="52"/>
    </row>
    <row r="38" s="37" customFormat="1" customHeight="1" spans="1:18">
      <c r="A38" s="46">
        <v>13</v>
      </c>
      <c r="B38" s="47" t="s">
        <v>105</v>
      </c>
      <c r="C38" s="46"/>
      <c r="D38" s="48" t="s">
        <v>196</v>
      </c>
      <c r="E38" s="48" t="s">
        <v>196</v>
      </c>
      <c r="F38" s="49"/>
      <c r="G38" s="49"/>
      <c r="H38" s="49"/>
      <c r="I38" s="7">
        <v>230</v>
      </c>
      <c r="J38" s="7">
        <v>91</v>
      </c>
      <c r="K38" s="7">
        <v>1338</v>
      </c>
      <c r="L38" s="50">
        <v>20.562</v>
      </c>
      <c r="M38" s="65">
        <v>1</v>
      </c>
      <c r="N38" s="49" t="s">
        <v>327</v>
      </c>
      <c r="O38" s="44">
        <f t="shared" si="3"/>
        <v>20.562</v>
      </c>
      <c r="P38" s="49"/>
      <c r="R38" s="52"/>
    </row>
    <row r="39" s="37" customFormat="1" customHeight="1" spans="1:18">
      <c r="A39" s="46">
        <v>14</v>
      </c>
      <c r="B39" s="47" t="s">
        <v>105</v>
      </c>
      <c r="C39" s="46"/>
      <c r="D39" s="48" t="s">
        <v>205</v>
      </c>
      <c r="E39" s="48" t="s">
        <v>203</v>
      </c>
      <c r="F39" s="49"/>
      <c r="G39" s="49"/>
      <c r="H39" s="49"/>
      <c r="I39" s="7">
        <v>80</v>
      </c>
      <c r="J39" s="7">
        <v>50</v>
      </c>
      <c r="K39" s="7">
        <v>1637</v>
      </c>
      <c r="L39" s="50">
        <v>9.561</v>
      </c>
      <c r="M39" s="65">
        <v>6</v>
      </c>
      <c r="N39" s="49" t="s">
        <v>327</v>
      </c>
      <c r="O39" s="44">
        <f t="shared" si="3"/>
        <v>57.366</v>
      </c>
      <c r="P39" s="49"/>
      <c r="R39" s="52"/>
    </row>
    <row r="40" s="37" customFormat="1" customHeight="1" spans="1:18">
      <c r="A40" s="46">
        <v>15</v>
      </c>
      <c r="B40" s="47" t="s">
        <v>105</v>
      </c>
      <c r="C40" s="46"/>
      <c r="D40" s="48" t="s">
        <v>246</v>
      </c>
      <c r="E40" s="48" t="s">
        <v>246</v>
      </c>
      <c r="F40" s="49"/>
      <c r="G40" s="49"/>
      <c r="H40" s="49"/>
      <c r="I40" s="7">
        <v>50</v>
      </c>
      <c r="J40" s="7">
        <v>50</v>
      </c>
      <c r="K40" s="7">
        <v>1563</v>
      </c>
      <c r="L40" s="50">
        <v>11.043</v>
      </c>
      <c r="M40" s="65">
        <v>1</v>
      </c>
      <c r="N40" s="49" t="s">
        <v>327</v>
      </c>
      <c r="O40" s="44">
        <f t="shared" si="3"/>
        <v>11.043</v>
      </c>
      <c r="P40" s="49"/>
      <c r="R40" s="52"/>
    </row>
    <row r="41" s="37" customFormat="1" customHeight="1" spans="1:18">
      <c r="A41" s="46">
        <v>16</v>
      </c>
      <c r="B41" s="47" t="s">
        <v>254</v>
      </c>
      <c r="C41" s="46"/>
      <c r="D41" s="48" t="s">
        <v>265</v>
      </c>
      <c r="E41" s="48" t="s">
        <v>259</v>
      </c>
      <c r="F41" s="49"/>
      <c r="G41" s="49"/>
      <c r="H41" s="49"/>
      <c r="I41" s="7">
        <v>50</v>
      </c>
      <c r="J41" s="7">
        <v>50</v>
      </c>
      <c r="K41" s="7">
        <v>745</v>
      </c>
      <c r="L41" s="50">
        <v>2.279</v>
      </c>
      <c r="M41" s="65">
        <v>8</v>
      </c>
      <c r="N41" s="49" t="s">
        <v>327</v>
      </c>
      <c r="O41" s="44">
        <f t="shared" si="3"/>
        <v>18.232</v>
      </c>
      <c r="P41" s="49"/>
      <c r="R41" s="52"/>
    </row>
    <row r="42" s="37" customFormat="1" customHeight="1" spans="1:18">
      <c r="A42" s="46">
        <v>17</v>
      </c>
      <c r="B42" s="47" t="s">
        <v>254</v>
      </c>
      <c r="C42" s="46"/>
      <c r="D42" s="48" t="s">
        <v>266</v>
      </c>
      <c r="E42" s="48" t="s">
        <v>259</v>
      </c>
      <c r="F42" s="49"/>
      <c r="G42" s="49"/>
      <c r="H42" s="49"/>
      <c r="I42" s="7">
        <v>50</v>
      </c>
      <c r="J42" s="7">
        <v>50</v>
      </c>
      <c r="K42" s="7">
        <v>976</v>
      </c>
      <c r="L42" s="50">
        <v>2.986</v>
      </c>
      <c r="M42" s="65">
        <v>10</v>
      </c>
      <c r="N42" s="49" t="s">
        <v>327</v>
      </c>
      <c r="O42" s="44">
        <f t="shared" si="3"/>
        <v>29.86</v>
      </c>
      <c r="P42" s="49"/>
      <c r="R42" s="52"/>
    </row>
    <row r="43" s="37" customFormat="1" customHeight="1" spans="1:18">
      <c r="A43" s="46">
        <v>18</v>
      </c>
      <c r="B43" s="47" t="s">
        <v>254</v>
      </c>
      <c r="C43" s="46"/>
      <c r="D43" s="48" t="s">
        <v>270</v>
      </c>
      <c r="E43" s="48" t="s">
        <v>259</v>
      </c>
      <c r="F43" s="49"/>
      <c r="G43" s="49"/>
      <c r="H43" s="49"/>
      <c r="I43" s="7">
        <v>50</v>
      </c>
      <c r="J43" s="7">
        <v>50</v>
      </c>
      <c r="K43" s="7">
        <v>1117</v>
      </c>
      <c r="L43" s="50">
        <v>3.417</v>
      </c>
      <c r="M43" s="65">
        <v>3</v>
      </c>
      <c r="N43" s="49" t="s">
        <v>327</v>
      </c>
      <c r="O43" s="44">
        <f t="shared" si="3"/>
        <v>10.251</v>
      </c>
      <c r="P43" s="49"/>
      <c r="R43" s="52"/>
    </row>
    <row r="44" s="37" customFormat="1" customHeight="1" spans="1:18">
      <c r="A44" s="46">
        <v>19</v>
      </c>
      <c r="B44" s="47" t="s">
        <v>254</v>
      </c>
      <c r="C44" s="46"/>
      <c r="D44" s="48" t="s">
        <v>275</v>
      </c>
      <c r="E44" s="48" t="s">
        <v>259</v>
      </c>
      <c r="F44" s="49"/>
      <c r="G44" s="49"/>
      <c r="H44" s="49"/>
      <c r="I44" s="7">
        <v>50</v>
      </c>
      <c r="J44" s="7">
        <v>50</v>
      </c>
      <c r="K44" s="7">
        <v>440</v>
      </c>
      <c r="L44" s="50">
        <v>1.346</v>
      </c>
      <c r="M44" s="65">
        <v>2</v>
      </c>
      <c r="N44" s="49" t="s">
        <v>327</v>
      </c>
      <c r="O44" s="44">
        <f t="shared" si="3"/>
        <v>2.692</v>
      </c>
      <c r="P44" s="49"/>
      <c r="R44" s="52"/>
    </row>
    <row r="45" s="37" customFormat="1" customHeight="1" spans="1:18">
      <c r="A45" s="46">
        <v>20</v>
      </c>
      <c r="B45" s="47" t="s">
        <v>254</v>
      </c>
      <c r="C45" s="46"/>
      <c r="D45" s="48" t="s">
        <v>276</v>
      </c>
      <c r="E45" s="48" t="s">
        <v>259</v>
      </c>
      <c r="F45" s="49"/>
      <c r="G45" s="49"/>
      <c r="H45" s="49"/>
      <c r="I45" s="7">
        <v>50</v>
      </c>
      <c r="J45" s="7">
        <v>50</v>
      </c>
      <c r="K45" s="7">
        <v>987</v>
      </c>
      <c r="L45" s="50">
        <v>3.019</v>
      </c>
      <c r="M45" s="65">
        <v>10</v>
      </c>
      <c r="N45" s="49" t="s">
        <v>327</v>
      </c>
      <c r="O45" s="44">
        <f t="shared" si="3"/>
        <v>30.19</v>
      </c>
      <c r="P45" s="49"/>
      <c r="R45" s="52"/>
    </row>
    <row r="46" s="37" customFormat="1" customHeight="1" spans="1:18">
      <c r="A46" s="46">
        <v>21</v>
      </c>
      <c r="B46" s="47" t="s">
        <v>254</v>
      </c>
      <c r="C46" s="46"/>
      <c r="D46" s="48" t="s">
        <v>277</v>
      </c>
      <c r="E46" s="48" t="s">
        <v>259</v>
      </c>
      <c r="F46" s="49"/>
      <c r="G46" s="49"/>
      <c r="H46" s="49"/>
      <c r="I46" s="7">
        <v>50</v>
      </c>
      <c r="J46" s="7">
        <v>50</v>
      </c>
      <c r="K46" s="7">
        <v>955</v>
      </c>
      <c r="L46" s="50">
        <v>2.921</v>
      </c>
      <c r="M46" s="65">
        <v>7</v>
      </c>
      <c r="N46" s="49" t="s">
        <v>327</v>
      </c>
      <c r="O46" s="44">
        <f t="shared" si="3"/>
        <v>20.447</v>
      </c>
      <c r="P46" s="49"/>
      <c r="R46" s="52"/>
    </row>
    <row r="47" s="37" customFormat="1" customHeight="1" spans="1:18">
      <c r="A47" s="46">
        <v>22</v>
      </c>
      <c r="B47" s="47" t="s">
        <v>254</v>
      </c>
      <c r="C47" s="46"/>
      <c r="D47" s="48" t="s">
        <v>278</v>
      </c>
      <c r="E47" s="48" t="s">
        <v>259</v>
      </c>
      <c r="F47" s="49"/>
      <c r="G47" s="49"/>
      <c r="H47" s="49"/>
      <c r="I47" s="7">
        <v>50</v>
      </c>
      <c r="J47" s="7">
        <v>50</v>
      </c>
      <c r="K47" s="7">
        <v>888</v>
      </c>
      <c r="L47" s="50">
        <v>2.716</v>
      </c>
      <c r="M47" s="65">
        <v>8</v>
      </c>
      <c r="N47" s="49" t="s">
        <v>327</v>
      </c>
      <c r="O47" s="44">
        <f t="shared" si="3"/>
        <v>21.728</v>
      </c>
      <c r="P47" s="49"/>
      <c r="R47" s="52"/>
    </row>
    <row r="48" s="37" customFormat="1" customHeight="1" spans="1:18">
      <c r="A48" s="46">
        <v>23</v>
      </c>
      <c r="B48" s="47" t="s">
        <v>254</v>
      </c>
      <c r="C48" s="46"/>
      <c r="D48" s="48" t="s">
        <v>279</v>
      </c>
      <c r="E48" s="48" t="s">
        <v>259</v>
      </c>
      <c r="F48" s="49"/>
      <c r="G48" s="49"/>
      <c r="H48" s="49"/>
      <c r="I48" s="7">
        <v>50</v>
      </c>
      <c r="J48" s="7">
        <v>50</v>
      </c>
      <c r="K48" s="7">
        <v>1186</v>
      </c>
      <c r="L48" s="50">
        <v>3.628</v>
      </c>
      <c r="M48" s="65">
        <v>8</v>
      </c>
      <c r="N48" s="49" t="s">
        <v>327</v>
      </c>
      <c r="O48" s="44">
        <f t="shared" si="3"/>
        <v>29.024</v>
      </c>
      <c r="P48" s="49"/>
      <c r="R48" s="52"/>
    </row>
    <row r="49" s="37" customFormat="1" customHeight="1" spans="1:18">
      <c r="A49" s="46">
        <v>24</v>
      </c>
      <c r="B49" s="47" t="s">
        <v>254</v>
      </c>
      <c r="C49" s="46"/>
      <c r="D49" s="48" t="s">
        <v>280</v>
      </c>
      <c r="E49" s="48" t="s">
        <v>259</v>
      </c>
      <c r="F49" s="49"/>
      <c r="G49" s="49"/>
      <c r="H49" s="49"/>
      <c r="I49" s="7">
        <v>50</v>
      </c>
      <c r="J49" s="7">
        <v>50</v>
      </c>
      <c r="K49" s="7">
        <v>1125</v>
      </c>
      <c r="L49" s="50">
        <v>3.441</v>
      </c>
      <c r="M49" s="65">
        <v>18</v>
      </c>
      <c r="N49" s="49" t="s">
        <v>327</v>
      </c>
      <c r="O49" s="44">
        <f t="shared" si="3"/>
        <v>61.938</v>
      </c>
      <c r="P49" s="49"/>
      <c r="R49" s="52"/>
    </row>
    <row r="50" s="37" customFormat="1" customHeight="1" spans="1:18">
      <c r="A50" s="46">
        <v>25</v>
      </c>
      <c r="B50" s="47" t="s">
        <v>254</v>
      </c>
      <c r="C50" s="46"/>
      <c r="D50" s="48" t="s">
        <v>281</v>
      </c>
      <c r="E50" s="48" t="s">
        <v>259</v>
      </c>
      <c r="F50" s="49"/>
      <c r="G50" s="49"/>
      <c r="H50" s="49"/>
      <c r="I50" s="7">
        <v>50</v>
      </c>
      <c r="J50" s="7">
        <v>50</v>
      </c>
      <c r="K50" s="7">
        <v>1022</v>
      </c>
      <c r="L50" s="50">
        <v>3.126</v>
      </c>
      <c r="M50" s="65">
        <v>18</v>
      </c>
      <c r="N50" s="49" t="s">
        <v>327</v>
      </c>
      <c r="O50" s="44">
        <f t="shared" si="3"/>
        <v>56.268</v>
      </c>
      <c r="P50" s="49"/>
      <c r="R50" s="52"/>
    </row>
    <row r="51" s="37" customFormat="1" customHeight="1" spans="1:18">
      <c r="A51" s="46">
        <v>26</v>
      </c>
      <c r="B51" s="47" t="s">
        <v>254</v>
      </c>
      <c r="C51" s="46"/>
      <c r="D51" s="48" t="s">
        <v>282</v>
      </c>
      <c r="E51" s="48" t="s">
        <v>259</v>
      </c>
      <c r="F51" s="49"/>
      <c r="G51" s="49"/>
      <c r="H51" s="49"/>
      <c r="I51" s="7">
        <v>50</v>
      </c>
      <c r="J51" s="7">
        <v>50</v>
      </c>
      <c r="K51" s="7">
        <v>1172</v>
      </c>
      <c r="L51" s="50">
        <v>3.585</v>
      </c>
      <c r="M51" s="65">
        <v>18</v>
      </c>
      <c r="N51" s="49" t="s">
        <v>327</v>
      </c>
      <c r="O51" s="44">
        <f t="shared" si="3"/>
        <v>64.53</v>
      </c>
      <c r="P51" s="49"/>
      <c r="R51" s="52"/>
    </row>
    <row r="52" s="37" customFormat="1" customHeight="1" spans="1:18">
      <c r="A52" s="46">
        <v>27</v>
      </c>
      <c r="B52" s="47" t="s">
        <v>254</v>
      </c>
      <c r="C52" s="46"/>
      <c r="D52" s="48" t="s">
        <v>286</v>
      </c>
      <c r="E52" s="48" t="s">
        <v>259</v>
      </c>
      <c r="F52" s="49"/>
      <c r="G52" s="49"/>
      <c r="H52" s="49"/>
      <c r="I52" s="7">
        <v>50</v>
      </c>
      <c r="J52" s="7">
        <v>50</v>
      </c>
      <c r="K52" s="7">
        <v>945</v>
      </c>
      <c r="L52" s="50">
        <v>2.891</v>
      </c>
      <c r="M52" s="65">
        <v>5</v>
      </c>
      <c r="N52" s="49" t="s">
        <v>327</v>
      </c>
      <c r="O52" s="44">
        <f t="shared" si="3"/>
        <v>14.455</v>
      </c>
      <c r="P52" s="49"/>
      <c r="R52" s="52"/>
    </row>
    <row r="53" s="37" customFormat="1" customHeight="1" spans="1:18">
      <c r="A53" s="46">
        <v>28</v>
      </c>
      <c r="B53" s="47" t="s">
        <v>254</v>
      </c>
      <c r="C53" s="46"/>
      <c r="D53" s="48" t="s">
        <v>287</v>
      </c>
      <c r="E53" s="48" t="s">
        <v>259</v>
      </c>
      <c r="F53" s="49"/>
      <c r="G53" s="49"/>
      <c r="H53" s="49"/>
      <c r="I53" s="7">
        <v>50</v>
      </c>
      <c r="J53" s="7">
        <v>50</v>
      </c>
      <c r="K53" s="7">
        <v>375</v>
      </c>
      <c r="L53" s="50">
        <v>1.147</v>
      </c>
      <c r="M53" s="65">
        <v>1</v>
      </c>
      <c r="N53" s="49" t="s">
        <v>327</v>
      </c>
      <c r="O53" s="44">
        <f t="shared" si="3"/>
        <v>1.147</v>
      </c>
      <c r="P53" s="49"/>
      <c r="R53" s="52"/>
    </row>
    <row r="54" s="37" customFormat="1" customHeight="1" spans="1:18">
      <c r="A54" s="46">
        <v>29</v>
      </c>
      <c r="B54" s="47" t="s">
        <v>254</v>
      </c>
      <c r="C54" s="46"/>
      <c r="D54" s="48" t="s">
        <v>292</v>
      </c>
      <c r="E54" s="48" t="s">
        <v>292</v>
      </c>
      <c r="F54" s="49"/>
      <c r="G54" s="49"/>
      <c r="H54" s="49"/>
      <c r="I54" s="7">
        <v>50</v>
      </c>
      <c r="J54" s="7">
        <v>50</v>
      </c>
      <c r="K54" s="7">
        <v>966</v>
      </c>
      <c r="L54" s="50">
        <v>2.955</v>
      </c>
      <c r="M54" s="65">
        <v>1</v>
      </c>
      <c r="N54" s="49" t="s">
        <v>327</v>
      </c>
      <c r="O54" s="44">
        <f t="shared" si="3"/>
        <v>2.955</v>
      </c>
      <c r="P54" s="49"/>
      <c r="R54" s="52"/>
    </row>
    <row r="55" s="37" customFormat="1" customHeight="1" spans="1:18">
      <c r="A55" s="46">
        <v>30</v>
      </c>
      <c r="B55" s="47" t="s">
        <v>254</v>
      </c>
      <c r="C55" s="46"/>
      <c r="D55" s="48" t="s">
        <v>293</v>
      </c>
      <c r="E55" s="48" t="s">
        <v>293</v>
      </c>
      <c r="F55" s="49"/>
      <c r="G55" s="49"/>
      <c r="H55" s="49"/>
      <c r="I55" s="7">
        <v>50</v>
      </c>
      <c r="J55" s="7">
        <v>50</v>
      </c>
      <c r="K55" s="7">
        <v>1434</v>
      </c>
      <c r="L55" s="50">
        <v>4.387</v>
      </c>
      <c r="M55" s="65">
        <v>1</v>
      </c>
      <c r="N55" s="49" t="s">
        <v>327</v>
      </c>
      <c r="O55" s="44">
        <f t="shared" si="3"/>
        <v>4.387</v>
      </c>
      <c r="P55" s="49"/>
      <c r="R55" s="52"/>
    </row>
    <row r="56" s="37" customFormat="1" customHeight="1" spans="1:18">
      <c r="A56" s="46">
        <v>31</v>
      </c>
      <c r="B56" s="47" t="s">
        <v>254</v>
      </c>
      <c r="C56" s="46"/>
      <c r="D56" s="48" t="s">
        <v>294</v>
      </c>
      <c r="E56" s="48" t="s">
        <v>294</v>
      </c>
      <c r="F56" s="49"/>
      <c r="G56" s="49"/>
      <c r="H56" s="49"/>
      <c r="I56" s="7">
        <v>50</v>
      </c>
      <c r="J56" s="7">
        <v>50</v>
      </c>
      <c r="K56" s="7">
        <v>596</v>
      </c>
      <c r="L56" s="50">
        <v>1.823</v>
      </c>
      <c r="M56" s="65">
        <v>1</v>
      </c>
      <c r="N56" s="49" t="s">
        <v>327</v>
      </c>
      <c r="O56" s="44">
        <f t="shared" si="3"/>
        <v>1.823</v>
      </c>
      <c r="P56" s="49"/>
      <c r="Q56" s="37" t="s">
        <v>330</v>
      </c>
      <c r="R56" s="52"/>
    </row>
    <row r="57" s="37" customFormat="1" customHeight="1" spans="1:18">
      <c r="A57" s="46">
        <v>32</v>
      </c>
      <c r="B57" s="47" t="s">
        <v>254</v>
      </c>
      <c r="C57" s="46"/>
      <c r="D57" s="48" t="s">
        <v>295</v>
      </c>
      <c r="E57" s="48" t="s">
        <v>295</v>
      </c>
      <c r="F57" s="49" t="s">
        <v>328</v>
      </c>
      <c r="G57" s="49" t="s">
        <v>329</v>
      </c>
      <c r="H57" s="49" t="s">
        <v>329</v>
      </c>
      <c r="I57" s="7">
        <v>50</v>
      </c>
      <c r="J57" s="7">
        <v>50</v>
      </c>
      <c r="K57" s="7">
        <v>296</v>
      </c>
      <c r="L57" s="50">
        <v>0.905</v>
      </c>
      <c r="M57" s="65">
        <v>1</v>
      </c>
      <c r="N57" s="49" t="s">
        <v>327</v>
      </c>
      <c r="O57" s="44">
        <f t="shared" si="3"/>
        <v>0.905</v>
      </c>
      <c r="P57" s="49"/>
      <c r="R57" s="52"/>
    </row>
    <row r="58" s="37" customFormat="1" customHeight="1" spans="1:18">
      <c r="A58" s="46"/>
      <c r="B58" s="42"/>
      <c r="C58" s="42"/>
      <c r="D58" s="45" t="s">
        <v>332</v>
      </c>
      <c r="E58" s="45"/>
      <c r="F58" s="42"/>
      <c r="G58" s="42"/>
      <c r="H58" s="42"/>
      <c r="I58" s="59">
        <v>1100</v>
      </c>
      <c r="J58" s="42">
        <v>1100</v>
      </c>
      <c r="K58" s="42">
        <v>1750</v>
      </c>
      <c r="L58" s="42"/>
      <c r="M58" s="42">
        <v>1</v>
      </c>
      <c r="N58" s="61"/>
      <c r="O58" s="53">
        <v>79.5</v>
      </c>
      <c r="P58" s="45"/>
      <c r="Q58" s="37">
        <f>1750*1100*1000/1000000000</f>
        <v>1.925</v>
      </c>
      <c r="R58" s="52" t="s">
        <v>331</v>
      </c>
    </row>
    <row r="59" s="37" customFormat="1" customHeight="1" spans="1:18">
      <c r="M59" s="62">
        <f>SUM(M26:M57)</f>
        <v>175</v>
      </c>
      <c r="N59" s="62"/>
      <c r="O59" s="63">
        <f>SUM(O26:O58)</f>
        <v>2503.28</v>
      </c>
      <c r="R59" s="52"/>
    </row>
    <row r="62" s="37" customFormat="1" customHeight="1" spans="1:18">
      <c r="A62" s="39" t="s">
        <v>312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40"/>
      <c r="P62" s="39"/>
      <c r="Q62" s="37" t="s">
        <v>335</v>
      </c>
      <c r="R62" s="52"/>
    </row>
    <row r="63" s="37" customFormat="1" customHeight="1" spans="1:18">
      <c r="A63" s="41" t="s">
        <v>336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R63" s="52"/>
    </row>
    <row r="64" s="37" customFormat="1" customHeight="1" spans="1:18">
      <c r="A64" s="42" t="s">
        <v>11</v>
      </c>
      <c r="B64" s="42" t="s">
        <v>57</v>
      </c>
      <c r="C64" s="42" t="s">
        <v>315</v>
      </c>
      <c r="D64" s="42" t="s">
        <v>316</v>
      </c>
      <c r="E64" s="42" t="s">
        <v>70</v>
      </c>
      <c r="F64" s="42" t="s">
        <v>317</v>
      </c>
      <c r="G64" s="42" t="s">
        <v>318</v>
      </c>
      <c r="H64" s="42" t="s">
        <v>319</v>
      </c>
      <c r="I64" s="42" t="s">
        <v>320</v>
      </c>
      <c r="J64" s="42" t="s">
        <v>321</v>
      </c>
      <c r="K64" s="42" t="s">
        <v>322</v>
      </c>
      <c r="L64" s="42" t="s">
        <v>323</v>
      </c>
      <c r="M64" s="42" t="s">
        <v>17</v>
      </c>
      <c r="N64" s="42" t="s">
        <v>324</v>
      </c>
      <c r="O64" s="44" t="s">
        <v>325</v>
      </c>
      <c r="P64" s="45" t="s">
        <v>326</v>
      </c>
      <c r="R64" s="52"/>
    </row>
    <row r="65" s="37" customFormat="1" customHeight="1" spans="1:18">
      <c r="A65" s="46">
        <v>1</v>
      </c>
      <c r="B65" s="47" t="s">
        <v>105</v>
      </c>
      <c r="C65" s="46"/>
      <c r="D65" s="48" t="s">
        <v>122</v>
      </c>
      <c r="E65" s="48" t="s">
        <v>122</v>
      </c>
      <c r="F65" s="49"/>
      <c r="G65" s="49"/>
      <c r="H65" s="49"/>
      <c r="I65" s="7">
        <v>160</v>
      </c>
      <c r="J65" s="7">
        <v>160</v>
      </c>
      <c r="K65" s="7">
        <v>1421</v>
      </c>
      <c r="L65" s="50">
        <v>34.58</v>
      </c>
      <c r="M65" s="42">
        <v>1</v>
      </c>
      <c r="N65" s="49" t="s">
        <v>327</v>
      </c>
      <c r="O65" s="44">
        <f t="shared" ref="O65:O89" si="4">L65*M65</f>
        <v>34.58</v>
      </c>
      <c r="P65" s="49"/>
      <c r="R65" s="52"/>
    </row>
    <row r="66" s="37" customFormat="1" customHeight="1" spans="1:18">
      <c r="A66" s="46">
        <v>2</v>
      </c>
      <c r="B66" s="47" t="s">
        <v>105</v>
      </c>
      <c r="C66" s="46"/>
      <c r="D66" s="48" t="s">
        <v>125</v>
      </c>
      <c r="E66" s="48" t="s">
        <v>124</v>
      </c>
      <c r="F66" s="49" t="s">
        <v>328</v>
      </c>
      <c r="G66" s="49" t="s">
        <v>329</v>
      </c>
      <c r="H66" s="49" t="s">
        <v>329</v>
      </c>
      <c r="I66" s="7">
        <v>250</v>
      </c>
      <c r="J66" s="7">
        <v>250</v>
      </c>
      <c r="K66" s="7">
        <v>1421</v>
      </c>
      <c r="L66" s="50">
        <v>86.383</v>
      </c>
      <c r="M66" s="42">
        <v>3</v>
      </c>
      <c r="N66" s="49" t="s">
        <v>327</v>
      </c>
      <c r="O66" s="44">
        <f t="shared" si="4"/>
        <v>259.149</v>
      </c>
      <c r="P66" s="49"/>
      <c r="R66" s="52"/>
    </row>
    <row r="67" s="37" customFormat="1" customHeight="1" spans="1:18">
      <c r="A67" s="46">
        <v>3</v>
      </c>
      <c r="B67" s="47" t="s">
        <v>105</v>
      </c>
      <c r="C67" s="46"/>
      <c r="D67" s="48" t="s">
        <v>126</v>
      </c>
      <c r="E67" s="48" t="s">
        <v>124</v>
      </c>
      <c r="F67" s="49"/>
      <c r="G67" s="49"/>
      <c r="H67" s="49"/>
      <c r="I67" s="7">
        <v>250</v>
      </c>
      <c r="J67" s="7">
        <v>250</v>
      </c>
      <c r="K67" s="7">
        <v>881</v>
      </c>
      <c r="L67" s="50">
        <v>53.556</v>
      </c>
      <c r="M67" s="42">
        <v>3</v>
      </c>
      <c r="N67" s="49" t="s">
        <v>327</v>
      </c>
      <c r="O67" s="44">
        <f t="shared" si="4"/>
        <v>160.668</v>
      </c>
      <c r="P67" s="49"/>
      <c r="R67" s="52"/>
    </row>
    <row r="68" s="37" customFormat="1" customHeight="1" spans="1:18">
      <c r="A68" s="46">
        <v>4</v>
      </c>
      <c r="B68" s="47" t="s">
        <v>105</v>
      </c>
      <c r="C68" s="46"/>
      <c r="D68" s="48" t="s">
        <v>128</v>
      </c>
      <c r="E68" s="48" t="s">
        <v>124</v>
      </c>
      <c r="F68" s="49"/>
      <c r="G68" s="49"/>
      <c r="H68" s="49"/>
      <c r="I68" s="7">
        <v>250</v>
      </c>
      <c r="J68" s="7">
        <v>250</v>
      </c>
      <c r="K68" s="7">
        <v>1410</v>
      </c>
      <c r="L68" s="50">
        <v>85.714</v>
      </c>
      <c r="M68" s="42">
        <v>3</v>
      </c>
      <c r="N68" s="49" t="s">
        <v>327</v>
      </c>
      <c r="O68" s="44">
        <f t="shared" si="4"/>
        <v>257.142</v>
      </c>
      <c r="P68" s="49"/>
      <c r="R68" s="52"/>
    </row>
    <row r="69" s="37" customFormat="1" customHeight="1" spans="1:18">
      <c r="A69" s="46">
        <v>5</v>
      </c>
      <c r="B69" s="47" t="s">
        <v>105</v>
      </c>
      <c r="C69" s="46"/>
      <c r="D69" s="48" t="s">
        <v>129</v>
      </c>
      <c r="E69" s="48" t="s">
        <v>124</v>
      </c>
      <c r="F69" s="49"/>
      <c r="G69" s="49"/>
      <c r="H69" s="49"/>
      <c r="I69" s="7">
        <v>250</v>
      </c>
      <c r="J69" s="7">
        <v>250</v>
      </c>
      <c r="K69" s="7">
        <v>1307</v>
      </c>
      <c r="L69" s="50">
        <v>79.453</v>
      </c>
      <c r="M69" s="42">
        <v>1</v>
      </c>
      <c r="N69" s="49" t="s">
        <v>327</v>
      </c>
      <c r="O69" s="44">
        <f t="shared" si="4"/>
        <v>79.453</v>
      </c>
      <c r="P69" s="49"/>
      <c r="R69" s="52"/>
    </row>
    <row r="70" s="37" customFormat="1" customHeight="1" spans="1:18">
      <c r="A70" s="46">
        <v>6</v>
      </c>
      <c r="B70" s="47" t="s">
        <v>105</v>
      </c>
      <c r="C70" s="46"/>
      <c r="D70" s="48" t="s">
        <v>130</v>
      </c>
      <c r="E70" s="48" t="s">
        <v>130</v>
      </c>
      <c r="F70" s="49"/>
      <c r="G70" s="49"/>
      <c r="H70" s="49"/>
      <c r="I70" s="7">
        <v>250</v>
      </c>
      <c r="J70" s="7">
        <v>250</v>
      </c>
      <c r="K70" s="7">
        <v>1138</v>
      </c>
      <c r="L70" s="50">
        <v>69.179</v>
      </c>
      <c r="M70" s="42">
        <v>2</v>
      </c>
      <c r="N70" s="49" t="s">
        <v>327</v>
      </c>
      <c r="O70" s="44">
        <f t="shared" si="4"/>
        <v>138.358</v>
      </c>
      <c r="P70" s="49"/>
      <c r="R70" s="52"/>
    </row>
    <row r="71" s="37" customFormat="1" customHeight="1" spans="1:18">
      <c r="A71" s="46">
        <v>7</v>
      </c>
      <c r="B71" s="47" t="s">
        <v>105</v>
      </c>
      <c r="C71" s="46"/>
      <c r="D71" s="48" t="s">
        <v>132</v>
      </c>
      <c r="E71" s="48" t="s">
        <v>132</v>
      </c>
      <c r="F71" s="49"/>
      <c r="G71" s="49"/>
      <c r="H71" s="49"/>
      <c r="I71" s="7">
        <v>250</v>
      </c>
      <c r="J71" s="7">
        <v>250</v>
      </c>
      <c r="K71" s="7">
        <v>1410</v>
      </c>
      <c r="L71" s="50">
        <v>85.714</v>
      </c>
      <c r="M71" s="42">
        <v>3</v>
      </c>
      <c r="N71" s="49" t="s">
        <v>327</v>
      </c>
      <c r="O71" s="44">
        <f t="shared" si="4"/>
        <v>257.142</v>
      </c>
      <c r="P71" s="49"/>
      <c r="R71" s="52"/>
    </row>
    <row r="72" s="37" customFormat="1" customHeight="1" spans="1:18">
      <c r="A72" s="46">
        <v>8</v>
      </c>
      <c r="B72" s="47" t="s">
        <v>105</v>
      </c>
      <c r="C72" s="46"/>
      <c r="D72" s="48" t="s">
        <v>133</v>
      </c>
      <c r="E72" s="48" t="s">
        <v>133</v>
      </c>
      <c r="F72" s="49"/>
      <c r="G72" s="49"/>
      <c r="H72" s="49"/>
      <c r="I72" s="7">
        <v>250</v>
      </c>
      <c r="J72" s="7">
        <v>250</v>
      </c>
      <c r="K72" s="7">
        <v>1410</v>
      </c>
      <c r="L72" s="50">
        <v>85.714</v>
      </c>
      <c r="M72" s="42">
        <v>1</v>
      </c>
      <c r="N72" s="49" t="s">
        <v>327</v>
      </c>
      <c r="O72" s="44">
        <f t="shared" si="4"/>
        <v>85.714</v>
      </c>
      <c r="P72" s="49"/>
      <c r="R72" s="52"/>
    </row>
    <row r="73" s="37" customFormat="1" customHeight="1" spans="1:18">
      <c r="A73" s="46">
        <v>9</v>
      </c>
      <c r="B73" s="47" t="s">
        <v>105</v>
      </c>
      <c r="C73" s="46"/>
      <c r="D73" s="48" t="s">
        <v>135</v>
      </c>
      <c r="E73" s="48" t="s">
        <v>135</v>
      </c>
      <c r="F73" s="49"/>
      <c r="G73" s="49"/>
      <c r="H73" s="49"/>
      <c r="I73" s="7">
        <v>250</v>
      </c>
      <c r="J73" s="7">
        <v>250</v>
      </c>
      <c r="K73" s="7">
        <v>1410</v>
      </c>
      <c r="L73" s="50">
        <v>85.714</v>
      </c>
      <c r="M73" s="42">
        <v>1</v>
      </c>
      <c r="N73" s="49" t="s">
        <v>327</v>
      </c>
      <c r="O73" s="44">
        <f t="shared" si="4"/>
        <v>85.714</v>
      </c>
      <c r="P73" s="49"/>
      <c r="R73" s="52"/>
    </row>
    <row r="74" s="37" customFormat="1" customHeight="1" spans="1:18">
      <c r="A74" s="46">
        <v>10</v>
      </c>
      <c r="B74" s="47" t="s">
        <v>105</v>
      </c>
      <c r="C74" s="46"/>
      <c r="D74" s="48" t="s">
        <v>136</v>
      </c>
      <c r="E74" s="48" t="s">
        <v>136</v>
      </c>
      <c r="F74" s="49"/>
      <c r="G74" s="49"/>
      <c r="H74" s="49"/>
      <c r="I74" s="7">
        <v>250</v>
      </c>
      <c r="J74" s="7">
        <v>250</v>
      </c>
      <c r="K74" s="7">
        <v>1410</v>
      </c>
      <c r="L74" s="50">
        <v>85.714</v>
      </c>
      <c r="M74" s="42">
        <v>1</v>
      </c>
      <c r="N74" s="49" t="s">
        <v>327</v>
      </c>
      <c r="O74" s="44">
        <f t="shared" si="4"/>
        <v>85.714</v>
      </c>
      <c r="P74" s="49"/>
      <c r="R74" s="52"/>
    </row>
    <row r="75" s="37" customFormat="1" customHeight="1" spans="1:18">
      <c r="A75" s="46">
        <v>11</v>
      </c>
      <c r="B75" s="47" t="s">
        <v>105</v>
      </c>
      <c r="C75" s="46"/>
      <c r="D75" s="48" t="s">
        <v>137</v>
      </c>
      <c r="E75" s="48" t="s">
        <v>137</v>
      </c>
      <c r="F75" s="49"/>
      <c r="G75" s="49"/>
      <c r="H75" s="49"/>
      <c r="I75" s="7">
        <v>250</v>
      </c>
      <c r="J75" s="7">
        <v>250</v>
      </c>
      <c r="K75" s="7">
        <v>1307</v>
      </c>
      <c r="L75" s="50">
        <v>79.453</v>
      </c>
      <c r="M75" s="42">
        <v>1</v>
      </c>
      <c r="N75" s="49" t="s">
        <v>327</v>
      </c>
      <c r="O75" s="44">
        <f t="shared" si="4"/>
        <v>79.453</v>
      </c>
      <c r="P75" s="49"/>
      <c r="R75" s="52"/>
    </row>
    <row r="76" s="37" customFormat="1" customHeight="1" spans="1:18">
      <c r="A76" s="46">
        <v>12</v>
      </c>
      <c r="B76" s="47" t="s">
        <v>105</v>
      </c>
      <c r="C76" s="46"/>
      <c r="D76" s="48" t="s">
        <v>140</v>
      </c>
      <c r="E76" s="48" t="s">
        <v>139</v>
      </c>
      <c r="F76" s="49"/>
      <c r="G76" s="49"/>
      <c r="H76" s="49"/>
      <c r="I76" s="7">
        <v>120</v>
      </c>
      <c r="J76" s="7">
        <v>120</v>
      </c>
      <c r="K76" s="7">
        <v>1307</v>
      </c>
      <c r="L76" s="50">
        <v>28.071</v>
      </c>
      <c r="M76" s="42">
        <v>1</v>
      </c>
      <c r="N76" s="49" t="s">
        <v>327</v>
      </c>
      <c r="O76" s="44">
        <f t="shared" si="4"/>
        <v>28.071</v>
      </c>
      <c r="P76" s="49"/>
      <c r="R76" s="52"/>
    </row>
    <row r="77" s="37" customFormat="1" customHeight="1" spans="1:18">
      <c r="A77" s="46">
        <v>13</v>
      </c>
      <c r="B77" s="47" t="s">
        <v>105</v>
      </c>
      <c r="C77" s="46"/>
      <c r="D77" s="48" t="s">
        <v>141</v>
      </c>
      <c r="E77" s="48" t="s">
        <v>139</v>
      </c>
      <c r="F77" s="49"/>
      <c r="G77" s="49"/>
      <c r="H77" s="49"/>
      <c r="I77" s="7">
        <v>120</v>
      </c>
      <c r="J77" s="7">
        <v>120</v>
      </c>
      <c r="K77" s="7">
        <v>1145</v>
      </c>
      <c r="L77" s="50">
        <v>24.592</v>
      </c>
      <c r="M77" s="42">
        <v>1</v>
      </c>
      <c r="N77" s="49" t="s">
        <v>327</v>
      </c>
      <c r="O77" s="44">
        <f t="shared" si="4"/>
        <v>24.592</v>
      </c>
      <c r="P77" s="49"/>
      <c r="R77" s="52"/>
    </row>
    <row r="78" s="37" customFormat="1" customHeight="1" spans="1:18">
      <c r="A78" s="46">
        <v>14</v>
      </c>
      <c r="B78" s="47" t="s">
        <v>105</v>
      </c>
      <c r="C78" s="46"/>
      <c r="D78" s="48" t="s">
        <v>143</v>
      </c>
      <c r="E78" s="48" t="s">
        <v>139</v>
      </c>
      <c r="F78" s="49"/>
      <c r="G78" s="49"/>
      <c r="H78" s="49"/>
      <c r="I78" s="7">
        <v>120</v>
      </c>
      <c r="J78" s="7">
        <v>120</v>
      </c>
      <c r="K78" s="7">
        <v>1470</v>
      </c>
      <c r="L78" s="50">
        <v>31.572</v>
      </c>
      <c r="M78" s="42">
        <v>4</v>
      </c>
      <c r="N78" s="49" t="s">
        <v>327</v>
      </c>
      <c r="O78" s="44">
        <f t="shared" si="4"/>
        <v>126.288</v>
      </c>
      <c r="P78" s="49"/>
      <c r="R78" s="52"/>
    </row>
    <row r="79" s="37" customFormat="1" customHeight="1" spans="1:18">
      <c r="A79" s="46">
        <v>15</v>
      </c>
      <c r="B79" s="47" t="s">
        <v>105</v>
      </c>
      <c r="C79" s="46"/>
      <c r="D79" s="48" t="s">
        <v>144</v>
      </c>
      <c r="E79" s="48" t="s">
        <v>139</v>
      </c>
      <c r="F79" s="49"/>
      <c r="G79" s="49"/>
      <c r="H79" s="49"/>
      <c r="I79" s="7">
        <v>120</v>
      </c>
      <c r="J79" s="7">
        <v>120</v>
      </c>
      <c r="K79" s="7">
        <v>1520</v>
      </c>
      <c r="L79" s="50">
        <v>32.646</v>
      </c>
      <c r="M79" s="42">
        <v>1</v>
      </c>
      <c r="N79" s="49" t="s">
        <v>327</v>
      </c>
      <c r="O79" s="44">
        <f t="shared" si="4"/>
        <v>32.646</v>
      </c>
      <c r="P79" s="49"/>
      <c r="R79" s="52"/>
    </row>
    <row r="80" s="37" customFormat="1" customHeight="1" spans="1:18">
      <c r="A80" s="46">
        <v>16</v>
      </c>
      <c r="B80" s="47" t="s">
        <v>105</v>
      </c>
      <c r="C80" s="46"/>
      <c r="D80" s="48" t="s">
        <v>146</v>
      </c>
      <c r="E80" s="48" t="s">
        <v>139</v>
      </c>
      <c r="F80" s="49"/>
      <c r="G80" s="49"/>
      <c r="H80" s="49"/>
      <c r="I80" s="7">
        <v>120</v>
      </c>
      <c r="J80" s="7">
        <v>120</v>
      </c>
      <c r="K80" s="7">
        <v>2100</v>
      </c>
      <c r="L80" s="50">
        <v>45.103</v>
      </c>
      <c r="M80" s="42">
        <v>2</v>
      </c>
      <c r="N80" s="49" t="s">
        <v>327</v>
      </c>
      <c r="O80" s="44">
        <f t="shared" si="4"/>
        <v>90.206</v>
      </c>
      <c r="P80" s="49"/>
      <c r="R80" s="52"/>
    </row>
    <row r="81" s="37" customFormat="1" customHeight="1" spans="1:18">
      <c r="A81" s="46">
        <v>17</v>
      </c>
      <c r="B81" s="47" t="s">
        <v>105</v>
      </c>
      <c r="C81" s="46"/>
      <c r="D81" s="48" t="s">
        <v>147</v>
      </c>
      <c r="E81" s="48" t="s">
        <v>139</v>
      </c>
      <c r="F81" s="49"/>
      <c r="G81" s="49"/>
      <c r="H81" s="49"/>
      <c r="I81" s="7">
        <v>120</v>
      </c>
      <c r="J81" s="7">
        <v>120</v>
      </c>
      <c r="K81" s="7">
        <v>995</v>
      </c>
      <c r="L81" s="50">
        <v>21.37</v>
      </c>
      <c r="M81" s="42">
        <v>1</v>
      </c>
      <c r="N81" s="49" t="s">
        <v>327</v>
      </c>
      <c r="O81" s="44">
        <f t="shared" si="4"/>
        <v>21.37</v>
      </c>
      <c r="P81" s="49"/>
      <c r="R81" s="52"/>
    </row>
    <row r="82" s="37" customFormat="1" customHeight="1" spans="1:18">
      <c r="A82" s="46">
        <v>18</v>
      </c>
      <c r="B82" s="47" t="s">
        <v>105</v>
      </c>
      <c r="C82" s="46"/>
      <c r="D82" s="48" t="s">
        <v>159</v>
      </c>
      <c r="E82" s="48" t="s">
        <v>159</v>
      </c>
      <c r="F82" s="49"/>
      <c r="G82" s="49"/>
      <c r="H82" s="49"/>
      <c r="I82" s="7">
        <v>120</v>
      </c>
      <c r="J82" s="7">
        <v>120</v>
      </c>
      <c r="K82" s="7">
        <v>1307</v>
      </c>
      <c r="L82" s="50">
        <v>28.071</v>
      </c>
      <c r="M82" s="42">
        <v>1</v>
      </c>
      <c r="N82" s="49" t="s">
        <v>327</v>
      </c>
      <c r="O82" s="44">
        <f t="shared" si="4"/>
        <v>28.071</v>
      </c>
      <c r="P82" s="49"/>
      <c r="R82" s="52"/>
    </row>
    <row r="83" s="37" customFormat="1" customHeight="1" spans="1:18">
      <c r="A83" s="46">
        <v>19</v>
      </c>
      <c r="B83" s="47" t="s">
        <v>105</v>
      </c>
      <c r="C83" s="46"/>
      <c r="D83" s="48" t="s">
        <v>164</v>
      </c>
      <c r="E83" s="48" t="s">
        <v>164</v>
      </c>
      <c r="F83" s="49"/>
      <c r="G83" s="49"/>
      <c r="H83" s="49"/>
      <c r="I83" s="7">
        <v>120</v>
      </c>
      <c r="J83" s="7">
        <v>260</v>
      </c>
      <c r="K83" s="7">
        <v>1470</v>
      </c>
      <c r="L83" s="50">
        <v>34.605</v>
      </c>
      <c r="M83" s="42">
        <v>2</v>
      </c>
      <c r="N83" s="49" t="s">
        <v>327</v>
      </c>
      <c r="O83" s="44">
        <f t="shared" si="4"/>
        <v>69.21</v>
      </c>
      <c r="P83" s="49"/>
      <c r="R83" s="52"/>
    </row>
    <row r="84" s="37" customFormat="1" customHeight="1" spans="1:18">
      <c r="A84" s="46">
        <v>20</v>
      </c>
      <c r="B84" s="47" t="s">
        <v>105</v>
      </c>
      <c r="C84" s="46"/>
      <c r="D84" s="48" t="s">
        <v>166</v>
      </c>
      <c r="E84" s="48" t="s">
        <v>166</v>
      </c>
      <c r="F84" s="49"/>
      <c r="G84" s="49"/>
      <c r="H84" s="49"/>
      <c r="I84" s="7">
        <v>120</v>
      </c>
      <c r="J84" s="7">
        <v>120</v>
      </c>
      <c r="K84" s="7">
        <v>1520</v>
      </c>
      <c r="L84" s="50">
        <v>32.646</v>
      </c>
      <c r="M84" s="42">
        <v>1</v>
      </c>
      <c r="N84" s="49" t="s">
        <v>327</v>
      </c>
      <c r="O84" s="44">
        <f t="shared" si="4"/>
        <v>32.646</v>
      </c>
      <c r="P84" s="49"/>
      <c r="Q84" s="37" t="s">
        <v>330</v>
      </c>
      <c r="R84" s="52"/>
    </row>
    <row r="85" s="37" customFormat="1" customHeight="1" spans="1:18">
      <c r="A85" s="46">
        <v>21</v>
      </c>
      <c r="B85" s="47" t="s">
        <v>105</v>
      </c>
      <c r="C85" s="46"/>
      <c r="D85" s="48" t="s">
        <v>185</v>
      </c>
      <c r="E85" s="48" t="s">
        <v>179</v>
      </c>
      <c r="F85" s="49"/>
      <c r="G85" s="49"/>
      <c r="H85" s="49"/>
      <c r="I85" s="7">
        <v>80</v>
      </c>
      <c r="J85" s="7">
        <v>80</v>
      </c>
      <c r="K85" s="7">
        <v>1197</v>
      </c>
      <c r="L85" s="50">
        <v>11.426</v>
      </c>
      <c r="M85" s="42">
        <v>2</v>
      </c>
      <c r="N85" s="49" t="s">
        <v>327</v>
      </c>
      <c r="O85" s="44">
        <f t="shared" si="4"/>
        <v>22.852</v>
      </c>
      <c r="P85" s="49"/>
      <c r="R85" s="52"/>
    </row>
    <row r="86" s="37" customFormat="1" customHeight="1" spans="1:18">
      <c r="A86" s="46">
        <v>22</v>
      </c>
      <c r="B86" s="47" t="s">
        <v>105</v>
      </c>
      <c r="C86" s="46"/>
      <c r="D86" s="48" t="s">
        <v>190</v>
      </c>
      <c r="E86" s="48" t="s">
        <v>191</v>
      </c>
      <c r="F86" s="49"/>
      <c r="G86" s="49"/>
      <c r="H86" s="49"/>
      <c r="I86" s="7">
        <v>83</v>
      </c>
      <c r="J86" s="7">
        <v>120</v>
      </c>
      <c r="K86" s="7">
        <v>1451</v>
      </c>
      <c r="L86" s="50">
        <v>16.243</v>
      </c>
      <c r="M86" s="42">
        <v>1</v>
      </c>
      <c r="N86" s="49" t="s">
        <v>327</v>
      </c>
      <c r="O86" s="44">
        <f t="shared" si="4"/>
        <v>16.243</v>
      </c>
      <c r="P86" s="49"/>
      <c r="Q86" s="37">
        <f>1750*1100*1000/1000000000</f>
        <v>1.925</v>
      </c>
      <c r="R86" s="52" t="s">
        <v>331</v>
      </c>
    </row>
    <row r="87" s="37" customFormat="1" customHeight="1" spans="1:18">
      <c r="A87" s="46">
        <v>23</v>
      </c>
      <c r="B87" s="47" t="s">
        <v>105</v>
      </c>
      <c r="C87" s="46"/>
      <c r="D87" s="48" t="s">
        <v>223</v>
      </c>
      <c r="E87" s="48" t="s">
        <v>223</v>
      </c>
      <c r="F87" s="49"/>
      <c r="G87" s="49"/>
      <c r="H87" s="49"/>
      <c r="I87" s="7">
        <v>150</v>
      </c>
      <c r="J87" s="7">
        <v>100</v>
      </c>
      <c r="K87" s="7">
        <v>890</v>
      </c>
      <c r="L87" s="50">
        <v>13.526</v>
      </c>
      <c r="M87" s="42">
        <v>1</v>
      </c>
      <c r="N87" s="49" t="s">
        <v>327</v>
      </c>
      <c r="O87" s="44">
        <f t="shared" si="4"/>
        <v>13.526</v>
      </c>
      <c r="P87" s="49"/>
      <c r="R87" s="52"/>
    </row>
    <row r="88" s="37" customFormat="1" customHeight="1" spans="1:18">
      <c r="A88" s="46">
        <v>24</v>
      </c>
      <c r="B88" s="47" t="s">
        <v>105</v>
      </c>
      <c r="C88" s="46"/>
      <c r="D88" s="48" t="s">
        <v>226</v>
      </c>
      <c r="E88" s="48" t="s">
        <v>226</v>
      </c>
      <c r="F88" s="49"/>
      <c r="G88" s="49"/>
      <c r="H88" s="49"/>
      <c r="I88" s="7">
        <v>150</v>
      </c>
      <c r="J88" s="7">
        <v>100</v>
      </c>
      <c r="K88" s="7">
        <v>2019</v>
      </c>
      <c r="L88" s="50">
        <v>30.684</v>
      </c>
      <c r="M88" s="42">
        <v>1</v>
      </c>
      <c r="N88" s="49" t="s">
        <v>327</v>
      </c>
      <c r="O88" s="44">
        <f t="shared" si="4"/>
        <v>30.684</v>
      </c>
      <c r="P88" s="49"/>
      <c r="R88" s="52"/>
    </row>
    <row r="89" s="37" customFormat="1" customHeight="1" spans="1:18">
      <c r="A89" s="46">
        <v>25</v>
      </c>
      <c r="B89" s="47" t="s">
        <v>254</v>
      </c>
      <c r="C89" s="46"/>
      <c r="D89" s="48" t="s">
        <v>289</v>
      </c>
      <c r="E89" s="48" t="s">
        <v>289</v>
      </c>
      <c r="F89" s="49"/>
      <c r="G89" s="49"/>
      <c r="H89" s="49"/>
      <c r="I89" s="7">
        <v>50</v>
      </c>
      <c r="J89" s="7">
        <v>50</v>
      </c>
      <c r="K89" s="7">
        <v>1480</v>
      </c>
      <c r="L89" s="50">
        <v>4.527</v>
      </c>
      <c r="M89" s="42">
        <v>1</v>
      </c>
      <c r="N89" s="49" t="s">
        <v>327</v>
      </c>
      <c r="O89" s="44">
        <f t="shared" si="4"/>
        <v>4.527</v>
      </c>
      <c r="P89" s="49"/>
      <c r="R89" s="52"/>
    </row>
    <row r="90" s="37" customFormat="1" customHeight="1" spans="1:18">
      <c r="A90" s="46"/>
      <c r="B90" s="42"/>
      <c r="C90" s="42"/>
      <c r="D90" s="45" t="s">
        <v>332</v>
      </c>
      <c r="E90" s="45"/>
      <c r="F90" s="42"/>
      <c r="G90" s="42"/>
      <c r="H90" s="42"/>
      <c r="I90" s="59">
        <v>1100</v>
      </c>
      <c r="J90" s="42">
        <v>1100</v>
      </c>
      <c r="K90" s="42">
        <v>1750</v>
      </c>
      <c r="L90" s="42"/>
      <c r="M90" s="42">
        <v>1</v>
      </c>
      <c r="N90" s="61"/>
      <c r="O90" s="53">
        <v>79.5</v>
      </c>
      <c r="P90" s="45"/>
      <c r="R90" s="52"/>
    </row>
    <row r="91" s="37" customFormat="1" customHeight="1" spans="1:18">
      <c r="M91" s="62">
        <f>SUM(M65:M89)</f>
        <v>40</v>
      </c>
      <c r="N91" s="62"/>
      <c r="O91" s="63">
        <f>SUM(O65:O90)</f>
        <v>2143.519</v>
      </c>
      <c r="R91" s="52"/>
    </row>
    <row r="93" s="37" customFormat="1" customHeight="1" spans="1:18">
      <c r="A93" s="39" t="s">
        <v>312</v>
      </c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40"/>
      <c r="P93" s="39"/>
      <c r="Q93" s="37" t="s">
        <v>337</v>
      </c>
      <c r="R93" s="52"/>
    </row>
    <row r="94" s="37" customFormat="1" customHeight="1" spans="1:18">
      <c r="A94" s="41" t="s">
        <v>338</v>
      </c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R94" s="52"/>
    </row>
    <row r="95" s="37" customFormat="1" customHeight="1" spans="1:18">
      <c r="A95" s="42" t="s">
        <v>11</v>
      </c>
      <c r="B95" s="42" t="s">
        <v>57</v>
      </c>
      <c r="C95" s="42" t="s">
        <v>315</v>
      </c>
      <c r="D95" s="42" t="s">
        <v>316</v>
      </c>
      <c r="E95" s="42" t="s">
        <v>70</v>
      </c>
      <c r="F95" s="42" t="s">
        <v>317</v>
      </c>
      <c r="G95" s="42" t="s">
        <v>318</v>
      </c>
      <c r="H95" s="42" t="s">
        <v>319</v>
      </c>
      <c r="I95" s="42" t="s">
        <v>320</v>
      </c>
      <c r="J95" s="42" t="s">
        <v>321</v>
      </c>
      <c r="K95" s="42" t="s">
        <v>322</v>
      </c>
      <c r="L95" s="43" t="s">
        <v>323</v>
      </c>
      <c r="M95" s="42" t="s">
        <v>17</v>
      </c>
      <c r="N95" s="42" t="s">
        <v>324</v>
      </c>
      <c r="O95" s="44" t="s">
        <v>325</v>
      </c>
      <c r="P95" s="45" t="s">
        <v>326</v>
      </c>
      <c r="R95" s="52"/>
    </row>
    <row r="96" s="37" customFormat="1" customHeight="1" spans="1:18">
      <c r="A96" s="46">
        <v>1</v>
      </c>
      <c r="B96" s="47" t="s">
        <v>76</v>
      </c>
      <c r="C96" s="46"/>
      <c r="D96" s="48" t="s">
        <v>77</v>
      </c>
      <c r="E96" s="48" t="s">
        <v>77</v>
      </c>
      <c r="F96" s="49"/>
      <c r="G96" s="49"/>
      <c r="H96" s="49"/>
      <c r="I96" s="7">
        <v>600</v>
      </c>
      <c r="J96" s="7">
        <v>600</v>
      </c>
      <c r="K96" s="7">
        <v>20</v>
      </c>
      <c r="L96" s="50">
        <v>56.52</v>
      </c>
      <c r="M96" s="42">
        <v>6</v>
      </c>
      <c r="N96" s="49" t="s">
        <v>327</v>
      </c>
      <c r="O96" s="44">
        <f>L96*M96</f>
        <v>339.12</v>
      </c>
      <c r="P96" s="49"/>
      <c r="R96" s="52"/>
    </row>
    <row r="97" s="37" customFormat="1" customHeight="1" spans="1:18">
      <c r="A97" s="46">
        <v>2</v>
      </c>
      <c r="B97" s="47" t="s">
        <v>76</v>
      </c>
      <c r="C97" s="46"/>
      <c r="D97" s="48" t="s">
        <v>80</v>
      </c>
      <c r="E97" s="48" t="s">
        <v>80</v>
      </c>
      <c r="F97" s="49"/>
      <c r="G97" s="49"/>
      <c r="H97" s="49"/>
      <c r="I97" s="7">
        <v>60</v>
      </c>
      <c r="J97" s="7">
        <v>60</v>
      </c>
      <c r="K97" s="7">
        <v>6</v>
      </c>
      <c r="L97" s="50">
        <v>0.17</v>
      </c>
      <c r="M97" s="42">
        <v>104</v>
      </c>
      <c r="N97" s="49" t="s">
        <v>327</v>
      </c>
      <c r="O97" s="44">
        <f t="shared" ref="O97:O128" si="5">L97*M97</f>
        <v>17.68</v>
      </c>
      <c r="P97" s="49"/>
      <c r="R97" s="52"/>
    </row>
    <row r="98" s="37" customFormat="1" customHeight="1" spans="1:18">
      <c r="A98" s="46">
        <v>3</v>
      </c>
      <c r="B98" s="47" t="s">
        <v>76</v>
      </c>
      <c r="C98" s="46"/>
      <c r="D98" s="48" t="s">
        <v>81</v>
      </c>
      <c r="E98" s="48" t="s">
        <v>81</v>
      </c>
      <c r="F98" s="49"/>
      <c r="G98" s="49"/>
      <c r="H98" s="49"/>
      <c r="I98" s="7">
        <v>50</v>
      </c>
      <c r="J98" s="7">
        <v>50</v>
      </c>
      <c r="K98" s="7">
        <v>5</v>
      </c>
      <c r="L98" s="50">
        <v>0.098</v>
      </c>
      <c r="M98" s="42">
        <v>85</v>
      </c>
      <c r="N98" s="49" t="s">
        <v>327</v>
      </c>
      <c r="O98" s="44">
        <f t="shared" si="5"/>
        <v>8.33</v>
      </c>
      <c r="P98" s="49"/>
      <c r="R98" s="52"/>
    </row>
    <row r="99" s="37" customFormat="1" customHeight="1" spans="1:18">
      <c r="A99" s="46">
        <v>4</v>
      </c>
      <c r="B99" s="47" t="s">
        <v>76</v>
      </c>
      <c r="C99" s="46"/>
      <c r="D99" s="48" t="s">
        <v>82</v>
      </c>
      <c r="E99" s="48" t="s">
        <v>82</v>
      </c>
      <c r="F99" s="49"/>
      <c r="G99" s="49"/>
      <c r="H99" s="49"/>
      <c r="I99" s="7">
        <v>150</v>
      </c>
      <c r="J99" s="7">
        <v>150</v>
      </c>
      <c r="K99" s="7">
        <v>5</v>
      </c>
      <c r="L99" s="50">
        <v>0.883</v>
      </c>
      <c r="M99" s="42">
        <v>12</v>
      </c>
      <c r="N99" s="49" t="s">
        <v>327</v>
      </c>
      <c r="O99" s="44">
        <f t="shared" si="5"/>
        <v>10.596</v>
      </c>
      <c r="P99" s="49"/>
      <c r="R99" s="52"/>
    </row>
    <row r="100" s="37" customFormat="1" customHeight="1" spans="1:18">
      <c r="A100" s="46">
        <v>5</v>
      </c>
      <c r="B100" s="47" t="s">
        <v>76</v>
      </c>
      <c r="C100" s="46"/>
      <c r="D100" s="48" t="s">
        <v>83</v>
      </c>
      <c r="E100" s="48" t="s">
        <v>83</v>
      </c>
      <c r="F100" s="49"/>
      <c r="G100" s="49"/>
      <c r="H100" s="49"/>
      <c r="I100" s="7">
        <v>150</v>
      </c>
      <c r="J100" s="7">
        <v>150</v>
      </c>
      <c r="K100" s="7">
        <v>5</v>
      </c>
      <c r="L100" s="50">
        <v>0.883</v>
      </c>
      <c r="M100" s="42">
        <v>12</v>
      </c>
      <c r="N100" s="49" t="s">
        <v>327</v>
      </c>
      <c r="O100" s="44">
        <f t="shared" si="5"/>
        <v>10.596</v>
      </c>
      <c r="P100" s="49"/>
      <c r="R100" s="52"/>
    </row>
    <row r="101" s="37" customFormat="1" customHeight="1" spans="1:18">
      <c r="A101" s="46">
        <v>6</v>
      </c>
      <c r="B101" s="47" t="s">
        <v>76</v>
      </c>
      <c r="C101" s="46"/>
      <c r="D101" s="48" t="s">
        <v>84</v>
      </c>
      <c r="E101" s="48" t="s">
        <v>84</v>
      </c>
      <c r="F101" s="49"/>
      <c r="G101" s="49"/>
      <c r="H101" s="49"/>
      <c r="I101" s="7">
        <v>275</v>
      </c>
      <c r="J101" s="7">
        <v>150</v>
      </c>
      <c r="K101" s="7">
        <v>5</v>
      </c>
      <c r="L101" s="50">
        <v>1.619</v>
      </c>
      <c r="M101" s="42">
        <v>12</v>
      </c>
      <c r="N101" s="49" t="s">
        <v>327</v>
      </c>
      <c r="O101" s="44">
        <f t="shared" si="5"/>
        <v>19.428</v>
      </c>
      <c r="P101" s="49"/>
      <c r="R101" s="52"/>
    </row>
    <row r="102" s="37" customFormat="1" customHeight="1" spans="1:18">
      <c r="A102" s="46">
        <v>7</v>
      </c>
      <c r="B102" s="47" t="s">
        <v>76</v>
      </c>
      <c r="C102" s="46"/>
      <c r="D102" s="48" t="s">
        <v>85</v>
      </c>
      <c r="E102" s="48" t="s">
        <v>85</v>
      </c>
      <c r="F102" s="49"/>
      <c r="G102" s="49"/>
      <c r="H102" s="49"/>
      <c r="I102" s="7">
        <v>137.5</v>
      </c>
      <c r="J102" s="7">
        <v>150</v>
      </c>
      <c r="K102" s="7">
        <v>5</v>
      </c>
      <c r="L102" s="50">
        <v>0.81</v>
      </c>
      <c r="M102" s="42">
        <v>12</v>
      </c>
      <c r="N102" s="49" t="s">
        <v>327</v>
      </c>
      <c r="O102" s="44">
        <f t="shared" si="5"/>
        <v>9.72</v>
      </c>
      <c r="P102" s="49"/>
      <c r="R102" s="52"/>
    </row>
    <row r="103" s="37" customFormat="1" customHeight="1" spans="1:18">
      <c r="A103" s="46">
        <v>8</v>
      </c>
      <c r="B103" s="47" t="s">
        <v>76</v>
      </c>
      <c r="C103" s="46"/>
      <c r="D103" s="48" t="s">
        <v>86</v>
      </c>
      <c r="E103" s="48" t="s">
        <v>86</v>
      </c>
      <c r="F103" s="49"/>
      <c r="G103" s="49"/>
      <c r="H103" s="49"/>
      <c r="I103" s="7">
        <v>120</v>
      </c>
      <c r="J103" s="7">
        <v>120</v>
      </c>
      <c r="K103" s="7">
        <v>5</v>
      </c>
      <c r="L103" s="50">
        <v>0.565</v>
      </c>
      <c r="M103" s="42">
        <v>8</v>
      </c>
      <c r="N103" s="49" t="s">
        <v>327</v>
      </c>
      <c r="O103" s="44">
        <f t="shared" si="5"/>
        <v>4.52</v>
      </c>
      <c r="P103" s="49"/>
      <c r="R103" s="52"/>
    </row>
    <row r="104" s="37" customFormat="1" customHeight="1" spans="1:18">
      <c r="A104" s="46">
        <v>9</v>
      </c>
      <c r="B104" s="47" t="s">
        <v>76</v>
      </c>
      <c r="C104" s="46"/>
      <c r="D104" s="48" t="s">
        <v>87</v>
      </c>
      <c r="E104" s="48" t="s">
        <v>87</v>
      </c>
      <c r="F104" s="49"/>
      <c r="G104" s="49"/>
      <c r="H104" s="49"/>
      <c r="I104" s="7">
        <v>200</v>
      </c>
      <c r="J104" s="7">
        <v>200</v>
      </c>
      <c r="K104" s="7">
        <v>8</v>
      </c>
      <c r="L104" s="50">
        <v>2.512</v>
      </c>
      <c r="M104" s="42">
        <v>194</v>
      </c>
      <c r="N104" s="49" t="s">
        <v>327</v>
      </c>
      <c r="O104" s="44">
        <f t="shared" si="5"/>
        <v>487.328</v>
      </c>
      <c r="P104" s="49"/>
      <c r="R104" s="52"/>
    </row>
    <row r="105" s="37" customFormat="1" customHeight="1" spans="1:18">
      <c r="A105" s="46">
        <v>10</v>
      </c>
      <c r="B105" s="47" t="s">
        <v>76</v>
      </c>
      <c r="C105" s="46"/>
      <c r="D105" s="48" t="s">
        <v>88</v>
      </c>
      <c r="E105" s="48" t="s">
        <v>88</v>
      </c>
      <c r="F105" s="49"/>
      <c r="G105" s="49"/>
      <c r="H105" s="49"/>
      <c r="I105" s="7">
        <v>200</v>
      </c>
      <c r="J105" s="7">
        <v>190</v>
      </c>
      <c r="K105" s="7">
        <v>8</v>
      </c>
      <c r="L105" s="50">
        <v>2.386</v>
      </c>
      <c r="M105" s="42">
        <v>12</v>
      </c>
      <c r="N105" s="49" t="s">
        <v>327</v>
      </c>
      <c r="O105" s="44">
        <f t="shared" si="5"/>
        <v>28.632</v>
      </c>
      <c r="P105" s="49"/>
      <c r="R105" s="52"/>
    </row>
    <row r="106" s="37" customFormat="1" customHeight="1" spans="1:18">
      <c r="A106" s="46">
        <v>11</v>
      </c>
      <c r="B106" s="47" t="s">
        <v>76</v>
      </c>
      <c r="C106" s="46"/>
      <c r="D106" s="48" t="s">
        <v>89</v>
      </c>
      <c r="E106" s="48" t="s">
        <v>89</v>
      </c>
      <c r="F106" s="49"/>
      <c r="G106" s="49"/>
      <c r="H106" s="49"/>
      <c r="I106" s="7">
        <v>200</v>
      </c>
      <c r="J106" s="7">
        <v>205</v>
      </c>
      <c r="K106" s="7">
        <v>8</v>
      </c>
      <c r="L106" s="50">
        <v>2.575</v>
      </c>
      <c r="M106" s="42">
        <v>12</v>
      </c>
      <c r="N106" s="49" t="s">
        <v>327</v>
      </c>
      <c r="O106" s="44">
        <f t="shared" si="5"/>
        <v>30.9</v>
      </c>
      <c r="P106" s="49"/>
      <c r="R106" s="52"/>
    </row>
    <row r="107" s="37" customFormat="1" customHeight="1" spans="1:18">
      <c r="A107" s="46">
        <v>12</v>
      </c>
      <c r="B107" s="47" t="s">
        <v>76</v>
      </c>
      <c r="C107" s="46"/>
      <c r="D107" s="48" t="s">
        <v>90</v>
      </c>
      <c r="E107" s="48" t="s">
        <v>90</v>
      </c>
      <c r="F107" s="49"/>
      <c r="G107" s="49"/>
      <c r="H107" s="49"/>
      <c r="I107" s="7">
        <v>50</v>
      </c>
      <c r="J107" s="7">
        <v>50</v>
      </c>
      <c r="K107" s="7">
        <v>6</v>
      </c>
      <c r="L107" s="50">
        <v>0.118</v>
      </c>
      <c r="M107" s="42">
        <v>440</v>
      </c>
      <c r="N107" s="49" t="s">
        <v>327</v>
      </c>
      <c r="O107" s="44">
        <f t="shared" si="5"/>
        <v>51.92</v>
      </c>
      <c r="P107" s="49"/>
      <c r="R107" s="52"/>
    </row>
    <row r="108" s="37" customFormat="1" customHeight="1" spans="1:18">
      <c r="A108" s="46">
        <v>13</v>
      </c>
      <c r="B108" s="47" t="s">
        <v>76</v>
      </c>
      <c r="C108" s="46"/>
      <c r="D108" s="48" t="s">
        <v>91</v>
      </c>
      <c r="E108" s="48" t="s">
        <v>91</v>
      </c>
      <c r="F108" s="49"/>
      <c r="G108" s="49"/>
      <c r="H108" s="49"/>
      <c r="I108" s="7">
        <v>54.7</v>
      </c>
      <c r="J108" s="7">
        <v>50</v>
      </c>
      <c r="K108" s="7">
        <v>6</v>
      </c>
      <c r="L108" s="50">
        <v>0.129</v>
      </c>
      <c r="M108" s="42">
        <v>12</v>
      </c>
      <c r="N108" s="49" t="s">
        <v>327</v>
      </c>
      <c r="O108" s="44">
        <f t="shared" si="5"/>
        <v>1.548</v>
      </c>
      <c r="P108" s="49"/>
      <c r="R108" s="52"/>
    </row>
    <row r="109" s="37" customFormat="1" customHeight="1" spans="1:18">
      <c r="A109" s="46">
        <v>14</v>
      </c>
      <c r="B109" s="47" t="s">
        <v>76</v>
      </c>
      <c r="C109" s="46"/>
      <c r="D109" s="48" t="s">
        <v>92</v>
      </c>
      <c r="E109" s="48" t="s">
        <v>92</v>
      </c>
      <c r="F109" s="49"/>
      <c r="G109" s="49"/>
      <c r="H109" s="49"/>
      <c r="I109" s="7">
        <v>60</v>
      </c>
      <c r="J109" s="7">
        <v>55.2</v>
      </c>
      <c r="K109" s="7">
        <v>6</v>
      </c>
      <c r="L109" s="50">
        <v>0.13</v>
      </c>
      <c r="M109" s="42">
        <v>12</v>
      </c>
      <c r="N109" s="49" t="s">
        <v>327</v>
      </c>
      <c r="O109" s="44">
        <f t="shared" si="5"/>
        <v>1.56</v>
      </c>
      <c r="P109" s="49"/>
      <c r="R109" s="52"/>
    </row>
    <row r="110" s="37" customFormat="1" customHeight="1" spans="1:18">
      <c r="A110" s="46">
        <v>15</v>
      </c>
      <c r="B110" s="47" t="s">
        <v>76</v>
      </c>
      <c r="C110" s="46"/>
      <c r="D110" s="48" t="s">
        <v>93</v>
      </c>
      <c r="E110" s="48" t="s">
        <v>93</v>
      </c>
      <c r="F110" s="49"/>
      <c r="G110" s="49"/>
      <c r="H110" s="49"/>
      <c r="I110" s="7">
        <v>140</v>
      </c>
      <c r="J110" s="7">
        <v>115</v>
      </c>
      <c r="K110" s="7">
        <v>6</v>
      </c>
      <c r="L110" s="50">
        <v>0.758</v>
      </c>
      <c r="M110" s="42">
        <v>1</v>
      </c>
      <c r="N110" s="49" t="s">
        <v>327</v>
      </c>
      <c r="O110" s="44">
        <f t="shared" si="5"/>
        <v>0.758</v>
      </c>
      <c r="P110" s="49"/>
      <c r="R110" s="52"/>
    </row>
    <row r="111" s="37" customFormat="1" customHeight="1" spans="1:18">
      <c r="A111" s="46">
        <v>16</v>
      </c>
      <c r="B111" s="47" t="s">
        <v>76</v>
      </c>
      <c r="C111" s="46"/>
      <c r="D111" s="48" t="s">
        <v>94</v>
      </c>
      <c r="E111" s="48" t="s">
        <v>94</v>
      </c>
      <c r="F111" s="49"/>
      <c r="G111" s="49"/>
      <c r="H111" s="49"/>
      <c r="I111" s="7">
        <v>150</v>
      </c>
      <c r="J111" s="7">
        <v>115</v>
      </c>
      <c r="K111" s="7">
        <v>6</v>
      </c>
      <c r="L111" s="50">
        <v>0.812</v>
      </c>
      <c r="M111" s="42">
        <v>1</v>
      </c>
      <c r="N111" s="49" t="s">
        <v>327</v>
      </c>
      <c r="O111" s="44">
        <f t="shared" si="5"/>
        <v>0.812</v>
      </c>
      <c r="P111" s="49"/>
      <c r="R111" s="52"/>
    </row>
    <row r="112" s="37" customFormat="1" customHeight="1" spans="1:18">
      <c r="A112" s="46">
        <v>17</v>
      </c>
      <c r="B112" s="47" t="s">
        <v>76</v>
      </c>
      <c r="C112" s="46"/>
      <c r="D112" s="48" t="s">
        <v>95</v>
      </c>
      <c r="E112" s="48" t="s">
        <v>95</v>
      </c>
      <c r="F112" s="49"/>
      <c r="G112" s="49"/>
      <c r="H112" s="49"/>
      <c r="I112" s="7">
        <v>218</v>
      </c>
      <c r="J112" s="7">
        <v>142</v>
      </c>
      <c r="K112" s="7">
        <v>6</v>
      </c>
      <c r="L112" s="50">
        <v>1.571</v>
      </c>
      <c r="M112" s="42">
        <v>1</v>
      </c>
      <c r="N112" s="49" t="s">
        <v>327</v>
      </c>
      <c r="O112" s="44">
        <f t="shared" si="5"/>
        <v>1.571</v>
      </c>
      <c r="P112" s="49"/>
      <c r="R112" s="52"/>
    </row>
    <row r="113" s="37" customFormat="1" customHeight="1" spans="1:18">
      <c r="A113" s="46">
        <v>18</v>
      </c>
      <c r="B113" s="47" t="s">
        <v>76</v>
      </c>
      <c r="C113" s="46"/>
      <c r="D113" s="48" t="s">
        <v>96</v>
      </c>
      <c r="E113" s="48" t="s">
        <v>96</v>
      </c>
      <c r="F113" s="49"/>
      <c r="G113" s="49"/>
      <c r="H113" s="49"/>
      <c r="I113" s="7">
        <v>150</v>
      </c>
      <c r="J113" s="7">
        <v>154</v>
      </c>
      <c r="K113" s="7">
        <v>6</v>
      </c>
      <c r="L113" s="50">
        <v>1.088</v>
      </c>
      <c r="M113" s="42">
        <v>3</v>
      </c>
      <c r="N113" s="49" t="s">
        <v>327</v>
      </c>
      <c r="O113" s="44">
        <f t="shared" si="5"/>
        <v>3.264</v>
      </c>
      <c r="P113" s="49"/>
      <c r="R113" s="52"/>
    </row>
    <row r="114" s="37" customFormat="1" customHeight="1" spans="1:18">
      <c r="A114" s="46">
        <v>19</v>
      </c>
      <c r="B114" s="47" t="s">
        <v>76</v>
      </c>
      <c r="C114" s="46"/>
      <c r="D114" s="48" t="s">
        <v>97</v>
      </c>
      <c r="E114" s="48" t="s">
        <v>97</v>
      </c>
      <c r="F114" s="49"/>
      <c r="G114" s="49"/>
      <c r="H114" s="49"/>
      <c r="I114" s="7">
        <v>200</v>
      </c>
      <c r="J114" s="7">
        <v>140</v>
      </c>
      <c r="K114" s="7">
        <v>6</v>
      </c>
      <c r="L114" s="50">
        <v>1.319</v>
      </c>
      <c r="M114" s="42">
        <v>3</v>
      </c>
      <c r="N114" s="49" t="s">
        <v>327</v>
      </c>
      <c r="O114" s="44">
        <f t="shared" si="5"/>
        <v>3.957</v>
      </c>
      <c r="P114" s="49"/>
      <c r="R114" s="52"/>
    </row>
    <row r="115" s="37" customFormat="1" customHeight="1" spans="1:18">
      <c r="A115" s="46">
        <v>20</v>
      </c>
      <c r="B115" s="47" t="s">
        <v>76</v>
      </c>
      <c r="C115" s="46"/>
      <c r="D115" s="48" t="s">
        <v>98</v>
      </c>
      <c r="E115" s="48" t="s">
        <v>98</v>
      </c>
      <c r="F115" s="49"/>
      <c r="G115" s="49"/>
      <c r="H115" s="49"/>
      <c r="I115" s="7">
        <v>250</v>
      </c>
      <c r="J115" s="7">
        <v>140</v>
      </c>
      <c r="K115" s="7">
        <v>110</v>
      </c>
      <c r="L115" s="50">
        <v>2.334</v>
      </c>
      <c r="M115" s="42">
        <v>2</v>
      </c>
      <c r="N115" s="49" t="s">
        <v>327</v>
      </c>
      <c r="O115" s="44">
        <f t="shared" si="5"/>
        <v>4.668</v>
      </c>
      <c r="P115" s="49"/>
      <c r="R115" s="52"/>
    </row>
    <row r="116" s="37" customFormat="1" customHeight="1" spans="1:18">
      <c r="A116" s="46">
        <v>21</v>
      </c>
      <c r="B116" s="47" t="s">
        <v>76</v>
      </c>
      <c r="C116" s="46"/>
      <c r="D116" s="48" t="s">
        <v>99</v>
      </c>
      <c r="E116" s="48" t="s">
        <v>99</v>
      </c>
      <c r="F116" s="49"/>
      <c r="G116" s="49"/>
      <c r="H116" s="49"/>
      <c r="I116" s="7">
        <v>150</v>
      </c>
      <c r="J116" s="7">
        <v>180</v>
      </c>
      <c r="K116" s="7">
        <v>100</v>
      </c>
      <c r="L116" s="50">
        <v>2.757</v>
      </c>
      <c r="M116" s="42">
        <v>17</v>
      </c>
      <c r="N116" s="49" t="s">
        <v>327</v>
      </c>
      <c r="O116" s="44">
        <f t="shared" si="5"/>
        <v>46.869</v>
      </c>
      <c r="P116" s="49"/>
      <c r="R116" s="52"/>
    </row>
    <row r="117" s="37" customFormat="1" customHeight="1" spans="1:18">
      <c r="A117" s="46">
        <v>22</v>
      </c>
      <c r="B117" s="47" t="s">
        <v>76</v>
      </c>
      <c r="C117" s="46"/>
      <c r="D117" s="48" t="s">
        <v>100</v>
      </c>
      <c r="E117" s="48" t="s">
        <v>100</v>
      </c>
      <c r="F117" s="49"/>
      <c r="G117" s="49"/>
      <c r="H117" s="49"/>
      <c r="I117" s="7">
        <v>40</v>
      </c>
      <c r="J117" s="7">
        <v>40</v>
      </c>
      <c r="K117" s="7">
        <v>4</v>
      </c>
      <c r="L117" s="50">
        <v>0.05</v>
      </c>
      <c r="M117" s="42">
        <v>72</v>
      </c>
      <c r="N117" s="49" t="s">
        <v>327</v>
      </c>
      <c r="O117" s="44">
        <f t="shared" si="5"/>
        <v>3.6</v>
      </c>
      <c r="P117" s="49"/>
      <c r="R117" s="52"/>
    </row>
    <row r="118" s="37" customFormat="1" customHeight="1" spans="1:18">
      <c r="A118" s="46">
        <v>23</v>
      </c>
      <c r="B118" s="47" t="s">
        <v>76</v>
      </c>
      <c r="C118" s="46"/>
      <c r="D118" s="48" t="s">
        <v>101</v>
      </c>
      <c r="E118" s="48" t="s">
        <v>101</v>
      </c>
      <c r="F118" s="49"/>
      <c r="G118" s="49"/>
      <c r="H118" s="49"/>
      <c r="I118" s="7">
        <v>40</v>
      </c>
      <c r="J118" s="7">
        <v>40</v>
      </c>
      <c r="K118" s="7">
        <v>4</v>
      </c>
      <c r="L118" s="50">
        <v>0.05</v>
      </c>
      <c r="M118" s="42">
        <v>114</v>
      </c>
      <c r="N118" s="49" t="s">
        <v>327</v>
      </c>
      <c r="O118" s="44">
        <f t="shared" si="5"/>
        <v>5.7</v>
      </c>
      <c r="P118" s="49"/>
      <c r="R118" s="52"/>
    </row>
    <row r="119" s="37" customFormat="1" customHeight="1" spans="1:18">
      <c r="A119" s="46">
        <v>24</v>
      </c>
      <c r="B119" s="47" t="s">
        <v>76</v>
      </c>
      <c r="C119" s="46"/>
      <c r="D119" s="48" t="s">
        <v>102</v>
      </c>
      <c r="E119" s="48" t="s">
        <v>102</v>
      </c>
      <c r="F119" s="49"/>
      <c r="G119" s="49"/>
      <c r="H119" s="49"/>
      <c r="I119" s="7">
        <v>40</v>
      </c>
      <c r="J119" s="7">
        <v>40</v>
      </c>
      <c r="K119" s="7">
        <v>5</v>
      </c>
      <c r="L119" s="50">
        <v>0.063</v>
      </c>
      <c r="M119" s="42">
        <v>138</v>
      </c>
      <c r="N119" s="49" t="s">
        <v>327</v>
      </c>
      <c r="O119" s="44">
        <f t="shared" si="5"/>
        <v>8.694</v>
      </c>
      <c r="P119" s="49"/>
      <c r="R119" s="52"/>
    </row>
    <row r="120" s="37" customFormat="1" customHeight="1" spans="1:18">
      <c r="A120" s="46">
        <v>25</v>
      </c>
      <c r="B120" s="47" t="s">
        <v>76</v>
      </c>
      <c r="C120" s="46"/>
      <c r="D120" s="48" t="s">
        <v>103</v>
      </c>
      <c r="E120" s="48" t="s">
        <v>103</v>
      </c>
      <c r="F120" s="49"/>
      <c r="G120" s="49"/>
      <c r="H120" s="49"/>
      <c r="I120" s="7">
        <v>40</v>
      </c>
      <c r="J120" s="7">
        <v>40</v>
      </c>
      <c r="K120" s="7">
        <v>4</v>
      </c>
      <c r="L120" s="50">
        <v>0.05</v>
      </c>
      <c r="M120" s="42">
        <v>30</v>
      </c>
      <c r="N120" s="49" t="s">
        <v>327</v>
      </c>
      <c r="O120" s="44">
        <f t="shared" si="5"/>
        <v>1.5</v>
      </c>
      <c r="P120" s="49"/>
      <c r="R120" s="52"/>
    </row>
    <row r="121" s="37" customFormat="1" customHeight="1" spans="1:18">
      <c r="A121" s="46">
        <v>26</v>
      </c>
      <c r="B121" s="47" t="s">
        <v>76</v>
      </c>
      <c r="C121" s="46"/>
      <c r="D121" s="48" t="s">
        <v>104</v>
      </c>
      <c r="E121" s="48" t="s">
        <v>104</v>
      </c>
      <c r="F121" s="49"/>
      <c r="G121" s="49"/>
      <c r="H121" s="49"/>
      <c r="I121" s="7">
        <v>845</v>
      </c>
      <c r="J121" s="7">
        <v>279</v>
      </c>
      <c r="K121" s="7">
        <v>268</v>
      </c>
      <c r="L121" s="50">
        <v>25.615</v>
      </c>
      <c r="M121" s="42">
        <v>1</v>
      </c>
      <c r="N121" s="49" t="s">
        <v>327</v>
      </c>
      <c r="O121" s="44">
        <f t="shared" si="5"/>
        <v>25.615</v>
      </c>
      <c r="P121" s="49"/>
      <c r="R121" s="52"/>
    </row>
    <row r="122" s="37" customFormat="1" customHeight="1" spans="1:18">
      <c r="A122" s="46">
        <v>27</v>
      </c>
      <c r="B122" s="47" t="s">
        <v>105</v>
      </c>
      <c r="C122" s="46"/>
      <c r="D122" s="48" t="s">
        <v>172</v>
      </c>
      <c r="E122" s="48" t="s">
        <v>172</v>
      </c>
      <c r="F122" s="49"/>
      <c r="G122" s="49"/>
      <c r="H122" s="49"/>
      <c r="I122" s="7">
        <v>403</v>
      </c>
      <c r="J122" s="7">
        <v>603</v>
      </c>
      <c r="K122" s="7">
        <v>120</v>
      </c>
      <c r="L122" s="50">
        <v>19.265</v>
      </c>
      <c r="M122" s="42">
        <v>5</v>
      </c>
      <c r="N122" s="49" t="s">
        <v>327</v>
      </c>
      <c r="O122" s="44">
        <f t="shared" si="5"/>
        <v>96.325</v>
      </c>
      <c r="P122" s="49"/>
      <c r="R122" s="52"/>
    </row>
    <row r="123" s="37" customFormat="1" customHeight="1" spans="1:18">
      <c r="A123" s="46">
        <v>28</v>
      </c>
      <c r="B123" s="47" t="s">
        <v>105</v>
      </c>
      <c r="C123" s="46"/>
      <c r="D123" s="48" t="s">
        <v>173</v>
      </c>
      <c r="E123" s="48" t="s">
        <v>174</v>
      </c>
      <c r="F123" s="49"/>
      <c r="G123" s="49"/>
      <c r="H123" s="49"/>
      <c r="I123" s="7">
        <v>1024</v>
      </c>
      <c r="J123" s="7">
        <v>880</v>
      </c>
      <c r="K123" s="7">
        <v>120</v>
      </c>
      <c r="L123" s="50">
        <v>54.639</v>
      </c>
      <c r="M123" s="42">
        <v>2</v>
      </c>
      <c r="N123" s="49" t="s">
        <v>327</v>
      </c>
      <c r="O123" s="44">
        <f t="shared" si="5"/>
        <v>109.278</v>
      </c>
      <c r="P123" s="49"/>
      <c r="R123" s="52"/>
    </row>
    <row r="124" s="37" customFormat="1" customHeight="1" spans="1:18">
      <c r="A124" s="46">
        <v>29</v>
      </c>
      <c r="B124" s="47" t="s">
        <v>105</v>
      </c>
      <c r="C124" s="46"/>
      <c r="D124" s="48" t="s">
        <v>175</v>
      </c>
      <c r="E124" s="48" t="s">
        <v>174</v>
      </c>
      <c r="F124" s="49"/>
      <c r="G124" s="49"/>
      <c r="H124" s="49"/>
      <c r="I124" s="7">
        <v>1024</v>
      </c>
      <c r="J124" s="7">
        <v>910</v>
      </c>
      <c r="K124" s="7">
        <v>120</v>
      </c>
      <c r="L124" s="50">
        <v>55.928</v>
      </c>
      <c r="M124" s="42">
        <v>2</v>
      </c>
      <c r="N124" s="49" t="s">
        <v>327</v>
      </c>
      <c r="O124" s="44">
        <f t="shared" si="5"/>
        <v>111.856</v>
      </c>
      <c r="P124" s="49"/>
      <c r="R124" s="52"/>
    </row>
    <row r="125" s="37" customFormat="1" customHeight="1" spans="1:18">
      <c r="A125" s="46">
        <v>30</v>
      </c>
      <c r="B125" s="47" t="s">
        <v>105</v>
      </c>
      <c r="C125" s="46"/>
      <c r="D125" s="48" t="s">
        <v>177</v>
      </c>
      <c r="E125" s="48" t="s">
        <v>174</v>
      </c>
      <c r="F125" s="49"/>
      <c r="G125" s="49"/>
      <c r="H125" s="49"/>
      <c r="I125" s="7">
        <v>1024</v>
      </c>
      <c r="J125" s="7">
        <v>1010</v>
      </c>
      <c r="K125" s="7">
        <v>120</v>
      </c>
      <c r="L125" s="50">
        <v>60.223</v>
      </c>
      <c r="M125" s="42">
        <v>1</v>
      </c>
      <c r="N125" s="49" t="s">
        <v>327</v>
      </c>
      <c r="O125" s="44">
        <f t="shared" si="5"/>
        <v>60.223</v>
      </c>
      <c r="P125" s="49"/>
      <c r="R125" s="52"/>
    </row>
    <row r="126" s="37" customFormat="1" customHeight="1" spans="1:18">
      <c r="A126" s="46">
        <v>31</v>
      </c>
      <c r="B126" s="47" t="s">
        <v>105</v>
      </c>
      <c r="C126" s="46"/>
      <c r="D126" s="48" t="s">
        <v>181</v>
      </c>
      <c r="E126" s="48" t="s">
        <v>179</v>
      </c>
      <c r="F126" s="49"/>
      <c r="G126" s="49"/>
      <c r="H126" s="49"/>
      <c r="I126" s="7">
        <v>80</v>
      </c>
      <c r="J126" s="7">
        <v>80</v>
      </c>
      <c r="K126" s="7">
        <v>695</v>
      </c>
      <c r="L126" s="50">
        <v>6.634</v>
      </c>
      <c r="M126" s="42">
        <v>3</v>
      </c>
      <c r="N126" s="49" t="s">
        <v>327</v>
      </c>
      <c r="O126" s="44">
        <f t="shared" si="5"/>
        <v>19.902</v>
      </c>
      <c r="P126" s="49"/>
      <c r="R126" s="52"/>
    </row>
    <row r="127" s="37" customFormat="1" customHeight="1" spans="1:18">
      <c r="A127" s="46">
        <v>32</v>
      </c>
      <c r="B127" s="47" t="s">
        <v>105</v>
      </c>
      <c r="C127" s="46"/>
      <c r="D127" s="48" t="s">
        <v>184</v>
      </c>
      <c r="E127" s="48" t="s">
        <v>179</v>
      </c>
      <c r="F127" s="49"/>
      <c r="G127" s="49"/>
      <c r="H127" s="49"/>
      <c r="I127" s="7">
        <v>80</v>
      </c>
      <c r="J127" s="7">
        <v>80</v>
      </c>
      <c r="K127" s="7">
        <v>1023</v>
      </c>
      <c r="L127" s="50">
        <v>9.765</v>
      </c>
      <c r="M127" s="42">
        <v>1</v>
      </c>
      <c r="N127" s="49" t="s">
        <v>327</v>
      </c>
      <c r="O127" s="44">
        <f t="shared" si="5"/>
        <v>9.765</v>
      </c>
      <c r="P127" s="49"/>
      <c r="R127" s="52"/>
    </row>
    <row r="128" s="37" customFormat="1" customHeight="1" spans="1:18">
      <c r="A128" s="46">
        <v>33</v>
      </c>
      <c r="B128" s="47" t="s">
        <v>105</v>
      </c>
      <c r="C128" s="46"/>
      <c r="D128" s="48" t="s">
        <v>202</v>
      </c>
      <c r="E128" s="48" t="s">
        <v>203</v>
      </c>
      <c r="F128" s="49"/>
      <c r="G128" s="49"/>
      <c r="H128" s="49"/>
      <c r="I128" s="7">
        <v>80</v>
      </c>
      <c r="J128" s="7">
        <v>50</v>
      </c>
      <c r="K128" s="7">
        <v>513</v>
      </c>
      <c r="L128" s="50">
        <v>2.996</v>
      </c>
      <c r="M128" s="42">
        <v>1</v>
      </c>
      <c r="N128" s="49" t="s">
        <v>327</v>
      </c>
      <c r="O128" s="44">
        <f t="shared" si="5"/>
        <v>2.996</v>
      </c>
      <c r="P128" s="49"/>
      <c r="R128" s="52"/>
    </row>
    <row r="129" s="37" customFormat="1" customHeight="1" spans="1:18">
      <c r="A129" s="46">
        <v>34</v>
      </c>
      <c r="B129" s="47" t="s">
        <v>105</v>
      </c>
      <c r="C129" s="46"/>
      <c r="D129" s="48" t="s">
        <v>204</v>
      </c>
      <c r="E129" s="48" t="s">
        <v>203</v>
      </c>
      <c r="F129" s="49"/>
      <c r="G129" s="49"/>
      <c r="H129" s="49"/>
      <c r="I129" s="7">
        <v>80</v>
      </c>
      <c r="J129" s="7">
        <v>50</v>
      </c>
      <c r="K129" s="7">
        <v>625</v>
      </c>
      <c r="L129" s="50">
        <v>3.65</v>
      </c>
      <c r="M129" s="42">
        <v>5</v>
      </c>
      <c r="N129" s="49" t="s">
        <v>327</v>
      </c>
      <c r="O129" s="44">
        <f t="shared" ref="O129:O150" si="6">L129*M129</f>
        <v>18.25</v>
      </c>
      <c r="P129" s="49"/>
      <c r="R129" s="52"/>
    </row>
    <row r="130" s="37" customFormat="1" customHeight="1" spans="1:18">
      <c r="A130" s="46">
        <v>35</v>
      </c>
      <c r="B130" s="47" t="s">
        <v>105</v>
      </c>
      <c r="C130" s="46"/>
      <c r="D130" s="48" t="s">
        <v>234</v>
      </c>
      <c r="E130" s="48" t="s">
        <v>231</v>
      </c>
      <c r="F130" s="49"/>
      <c r="G130" s="49"/>
      <c r="H130" s="49"/>
      <c r="I130" s="7">
        <v>50</v>
      </c>
      <c r="J130" s="7">
        <v>50</v>
      </c>
      <c r="K130" s="7">
        <v>400</v>
      </c>
      <c r="L130" s="50">
        <v>2.826</v>
      </c>
      <c r="M130" s="42">
        <v>5</v>
      </c>
      <c r="N130" s="49" t="s">
        <v>327</v>
      </c>
      <c r="O130" s="44">
        <f t="shared" si="6"/>
        <v>14.13</v>
      </c>
      <c r="P130" s="49"/>
      <c r="R130" s="52"/>
    </row>
    <row r="131" s="37" customFormat="1" customHeight="1" spans="1:18">
      <c r="A131" s="46">
        <v>36</v>
      </c>
      <c r="B131" s="47" t="s">
        <v>105</v>
      </c>
      <c r="C131" s="46"/>
      <c r="D131" s="48" t="s">
        <v>235</v>
      </c>
      <c r="E131" s="48" t="s">
        <v>231</v>
      </c>
      <c r="F131" s="49"/>
      <c r="G131" s="49"/>
      <c r="H131" s="49"/>
      <c r="I131" s="7">
        <v>50</v>
      </c>
      <c r="J131" s="7">
        <v>50</v>
      </c>
      <c r="K131" s="7">
        <v>342</v>
      </c>
      <c r="L131" s="50">
        <v>2.416</v>
      </c>
      <c r="M131" s="42">
        <v>2</v>
      </c>
      <c r="N131" s="49" t="s">
        <v>327</v>
      </c>
      <c r="O131" s="44">
        <f t="shared" si="6"/>
        <v>4.832</v>
      </c>
      <c r="P131" s="49"/>
      <c r="R131" s="52"/>
    </row>
    <row r="132" s="37" customFormat="1" customHeight="1" spans="1:18">
      <c r="A132" s="46">
        <v>37</v>
      </c>
      <c r="B132" s="47" t="s">
        <v>105</v>
      </c>
      <c r="C132" s="46"/>
      <c r="D132" s="48" t="s">
        <v>236</v>
      </c>
      <c r="E132" s="48" t="s">
        <v>231</v>
      </c>
      <c r="F132" s="49"/>
      <c r="G132" s="49"/>
      <c r="H132" s="49"/>
      <c r="I132" s="7">
        <v>50</v>
      </c>
      <c r="J132" s="7">
        <v>50</v>
      </c>
      <c r="K132" s="7">
        <v>947</v>
      </c>
      <c r="L132" s="50">
        <v>6.691</v>
      </c>
      <c r="M132" s="42">
        <v>6</v>
      </c>
      <c r="N132" s="49" t="s">
        <v>327</v>
      </c>
      <c r="O132" s="44">
        <f t="shared" si="6"/>
        <v>40.146</v>
      </c>
      <c r="P132" s="49"/>
      <c r="R132" s="52"/>
    </row>
    <row r="133" s="37" customFormat="1" customHeight="1" spans="1:18">
      <c r="A133" s="46">
        <v>38</v>
      </c>
      <c r="B133" s="47" t="s">
        <v>105</v>
      </c>
      <c r="C133" s="46"/>
      <c r="D133" s="48" t="s">
        <v>237</v>
      </c>
      <c r="E133" s="48" t="s">
        <v>231</v>
      </c>
      <c r="F133" s="49"/>
      <c r="G133" s="49"/>
      <c r="H133" s="49"/>
      <c r="I133" s="7">
        <v>50</v>
      </c>
      <c r="J133" s="7">
        <v>50</v>
      </c>
      <c r="K133" s="7">
        <v>797</v>
      </c>
      <c r="L133" s="50">
        <v>5.631</v>
      </c>
      <c r="M133" s="42">
        <v>1</v>
      </c>
      <c r="N133" s="49" t="s">
        <v>327</v>
      </c>
      <c r="O133" s="44">
        <f t="shared" si="6"/>
        <v>5.631</v>
      </c>
      <c r="P133" s="49"/>
      <c r="R133" s="52"/>
    </row>
    <row r="134" s="37" customFormat="1" customHeight="1" spans="1:18">
      <c r="A134" s="46">
        <v>39</v>
      </c>
      <c r="B134" s="47" t="s">
        <v>105</v>
      </c>
      <c r="C134" s="46"/>
      <c r="D134" s="48" t="s">
        <v>245</v>
      </c>
      <c r="E134" s="48" t="s">
        <v>245</v>
      </c>
      <c r="F134" s="49"/>
      <c r="G134" s="49"/>
      <c r="H134" s="49"/>
      <c r="I134" s="7">
        <v>50</v>
      </c>
      <c r="J134" s="7">
        <v>50</v>
      </c>
      <c r="K134" s="7">
        <v>585</v>
      </c>
      <c r="L134" s="50">
        <v>4.133</v>
      </c>
      <c r="M134" s="42">
        <v>1</v>
      </c>
      <c r="N134" s="49" t="s">
        <v>327</v>
      </c>
      <c r="O134" s="44">
        <f t="shared" si="6"/>
        <v>4.133</v>
      </c>
      <c r="P134" s="49"/>
      <c r="R134" s="52"/>
    </row>
    <row r="135" s="37" customFormat="1" customHeight="1" spans="1:18">
      <c r="A135" s="46">
        <v>40</v>
      </c>
      <c r="B135" s="47" t="s">
        <v>105</v>
      </c>
      <c r="C135" s="46"/>
      <c r="D135" s="48" t="s">
        <v>248</v>
      </c>
      <c r="E135" s="48" t="s">
        <v>248</v>
      </c>
      <c r="F135" s="49"/>
      <c r="G135" s="49"/>
      <c r="H135" s="49"/>
      <c r="I135" s="7">
        <v>50</v>
      </c>
      <c r="J135" s="7">
        <v>50</v>
      </c>
      <c r="K135" s="7">
        <v>1081</v>
      </c>
      <c r="L135" s="50">
        <v>7.637</v>
      </c>
      <c r="M135" s="42">
        <v>1</v>
      </c>
      <c r="N135" s="49" t="s">
        <v>327</v>
      </c>
      <c r="O135" s="44">
        <f t="shared" si="6"/>
        <v>7.637</v>
      </c>
      <c r="P135" s="49"/>
      <c r="R135" s="52"/>
    </row>
    <row r="136" s="37" customFormat="1" customHeight="1" spans="1:18">
      <c r="A136" s="46">
        <v>41</v>
      </c>
      <c r="B136" s="47" t="s">
        <v>105</v>
      </c>
      <c r="C136" s="46"/>
      <c r="D136" s="48" t="s">
        <v>249</v>
      </c>
      <c r="E136" s="48" t="s">
        <v>249</v>
      </c>
      <c r="F136" s="49"/>
      <c r="G136" s="49"/>
      <c r="H136" s="49"/>
      <c r="I136" s="7">
        <v>50</v>
      </c>
      <c r="J136" s="7">
        <v>50</v>
      </c>
      <c r="K136" s="7">
        <v>721</v>
      </c>
      <c r="L136" s="50">
        <v>5.094</v>
      </c>
      <c r="M136" s="42">
        <v>1</v>
      </c>
      <c r="N136" s="49" t="s">
        <v>327</v>
      </c>
      <c r="O136" s="44">
        <f t="shared" si="6"/>
        <v>5.094</v>
      </c>
      <c r="P136" s="49"/>
      <c r="R136" s="52"/>
    </row>
    <row r="137" s="37" customFormat="1" customHeight="1" spans="1:18">
      <c r="A137" s="46">
        <v>42</v>
      </c>
      <c r="B137" s="47" t="s">
        <v>254</v>
      </c>
      <c r="C137" s="46"/>
      <c r="D137" s="48" t="s">
        <v>255</v>
      </c>
      <c r="E137" s="48" t="s">
        <v>255</v>
      </c>
      <c r="F137" s="49"/>
      <c r="G137" s="49"/>
      <c r="H137" s="49"/>
      <c r="I137" s="7">
        <v>125</v>
      </c>
      <c r="J137" s="7">
        <v>80</v>
      </c>
      <c r="K137" s="7">
        <v>80</v>
      </c>
      <c r="L137" s="50">
        <v>1.004</v>
      </c>
      <c r="M137" s="42">
        <v>1</v>
      </c>
      <c r="N137" s="49" t="s">
        <v>327</v>
      </c>
      <c r="O137" s="44">
        <f t="shared" si="6"/>
        <v>1.004</v>
      </c>
      <c r="P137" s="49"/>
      <c r="R137" s="52"/>
    </row>
    <row r="138" s="37" customFormat="1" customHeight="1" spans="1:18">
      <c r="A138" s="46">
        <v>43</v>
      </c>
      <c r="B138" s="47" t="s">
        <v>254</v>
      </c>
      <c r="C138" s="46"/>
      <c r="D138" s="48" t="s">
        <v>256</v>
      </c>
      <c r="E138" s="48" t="s">
        <v>256</v>
      </c>
      <c r="F138" s="49"/>
      <c r="G138" s="49"/>
      <c r="H138" s="49"/>
      <c r="I138" s="7">
        <v>125</v>
      </c>
      <c r="J138" s="7">
        <v>80</v>
      </c>
      <c r="K138" s="7">
        <v>80</v>
      </c>
      <c r="L138" s="50">
        <v>1.004</v>
      </c>
      <c r="M138" s="42">
        <v>2</v>
      </c>
      <c r="N138" s="49" t="s">
        <v>327</v>
      </c>
      <c r="O138" s="44">
        <f t="shared" si="6"/>
        <v>2.008</v>
      </c>
      <c r="P138" s="49"/>
      <c r="R138" s="52"/>
    </row>
    <row r="139" s="37" customFormat="1" customHeight="1" spans="1:18">
      <c r="A139" s="46">
        <v>44</v>
      </c>
      <c r="B139" s="47" t="s">
        <v>254</v>
      </c>
      <c r="C139" s="46"/>
      <c r="D139" s="48" t="s">
        <v>257</v>
      </c>
      <c r="E139" s="48" t="s">
        <v>257</v>
      </c>
      <c r="F139" s="49"/>
      <c r="G139" s="49"/>
      <c r="H139" s="49"/>
      <c r="I139" s="7">
        <v>125</v>
      </c>
      <c r="J139" s="7">
        <v>80</v>
      </c>
      <c r="K139" s="7">
        <v>80</v>
      </c>
      <c r="L139" s="50">
        <v>1.004</v>
      </c>
      <c r="M139" s="42">
        <v>1</v>
      </c>
      <c r="N139" s="49" t="s">
        <v>327</v>
      </c>
      <c r="O139" s="44">
        <f t="shared" si="6"/>
        <v>1.004</v>
      </c>
      <c r="P139" s="49"/>
      <c r="R139" s="52"/>
    </row>
    <row r="140" s="37" customFormat="1" customHeight="1" spans="1:18">
      <c r="A140" s="46">
        <v>45</v>
      </c>
      <c r="B140" s="47" t="s">
        <v>254</v>
      </c>
      <c r="C140" s="46"/>
      <c r="D140" s="48" t="s">
        <v>284</v>
      </c>
      <c r="E140" s="48" t="s">
        <v>259</v>
      </c>
      <c r="F140" s="49"/>
      <c r="G140" s="49"/>
      <c r="H140" s="49"/>
      <c r="I140" s="7">
        <v>50</v>
      </c>
      <c r="J140" s="7">
        <v>50</v>
      </c>
      <c r="K140" s="7">
        <v>140</v>
      </c>
      <c r="L140" s="50">
        <v>0.428</v>
      </c>
      <c r="M140" s="42">
        <v>18</v>
      </c>
      <c r="N140" s="49" t="s">
        <v>327</v>
      </c>
      <c r="O140" s="44">
        <f t="shared" si="6"/>
        <v>7.704</v>
      </c>
      <c r="P140" s="49"/>
      <c r="R140" s="52"/>
    </row>
    <row r="141" s="37" customFormat="1" customHeight="1" spans="1:18">
      <c r="A141" s="46">
        <v>46</v>
      </c>
      <c r="B141" s="47" t="s">
        <v>254</v>
      </c>
      <c r="C141" s="46"/>
      <c r="D141" s="48" t="s">
        <v>290</v>
      </c>
      <c r="E141" s="48" t="s">
        <v>290</v>
      </c>
      <c r="F141" s="49"/>
      <c r="G141" s="49"/>
      <c r="H141" s="49"/>
      <c r="I141" s="7">
        <v>50</v>
      </c>
      <c r="J141" s="7">
        <v>50</v>
      </c>
      <c r="K141" s="7">
        <v>90</v>
      </c>
      <c r="L141" s="50">
        <v>0.275</v>
      </c>
      <c r="M141" s="42">
        <v>28</v>
      </c>
      <c r="N141" s="49" t="s">
        <v>327</v>
      </c>
      <c r="O141" s="44">
        <f t="shared" si="6"/>
        <v>7.7</v>
      </c>
      <c r="P141" s="49"/>
      <c r="R141" s="52"/>
    </row>
    <row r="142" s="37" customFormat="1" customHeight="1" spans="1:18">
      <c r="A142" s="46">
        <v>47</v>
      </c>
      <c r="B142" s="47" t="s">
        <v>254</v>
      </c>
      <c r="C142" s="46"/>
      <c r="D142" s="48" t="s">
        <v>291</v>
      </c>
      <c r="E142" s="48" t="s">
        <v>291</v>
      </c>
      <c r="F142" s="49"/>
      <c r="G142" s="49"/>
      <c r="H142" s="49"/>
      <c r="I142" s="7">
        <v>50</v>
      </c>
      <c r="J142" s="7">
        <v>50</v>
      </c>
      <c r="K142" s="7">
        <v>90</v>
      </c>
      <c r="L142" s="50">
        <v>0.275</v>
      </c>
      <c r="M142" s="42">
        <v>26</v>
      </c>
      <c r="N142" s="49" t="s">
        <v>327</v>
      </c>
      <c r="O142" s="44">
        <f t="shared" si="6"/>
        <v>7.15</v>
      </c>
      <c r="P142" s="49"/>
      <c r="R142" s="52"/>
    </row>
    <row r="143" s="37" customFormat="1" customHeight="1" spans="1:18">
      <c r="A143" s="46">
        <v>48</v>
      </c>
      <c r="B143" s="47" t="s">
        <v>254</v>
      </c>
      <c r="C143" s="46"/>
      <c r="D143" s="48" t="s">
        <v>297</v>
      </c>
      <c r="E143" s="48" t="s">
        <v>297</v>
      </c>
      <c r="F143" s="49"/>
      <c r="G143" s="49"/>
      <c r="H143" s="49"/>
      <c r="I143" s="7">
        <v>63</v>
      </c>
      <c r="J143" s="7">
        <v>100</v>
      </c>
      <c r="K143" s="7">
        <v>110</v>
      </c>
      <c r="L143" s="50">
        <v>1.087</v>
      </c>
      <c r="M143" s="42">
        <v>19</v>
      </c>
      <c r="N143" s="49" t="s">
        <v>327</v>
      </c>
      <c r="O143" s="44">
        <f t="shared" si="6"/>
        <v>20.653</v>
      </c>
      <c r="P143" s="49"/>
      <c r="R143" s="52"/>
    </row>
    <row r="144" s="37" customFormat="1" customHeight="1" spans="1:18">
      <c r="A144" s="46">
        <v>49</v>
      </c>
      <c r="B144" s="47" t="s">
        <v>254</v>
      </c>
      <c r="C144" s="46"/>
      <c r="D144" s="48" t="s">
        <v>298</v>
      </c>
      <c r="E144" s="48" t="s">
        <v>298</v>
      </c>
      <c r="F144" s="49"/>
      <c r="G144" s="49"/>
      <c r="H144" s="49"/>
      <c r="I144" s="7">
        <v>63</v>
      </c>
      <c r="J144" s="7">
        <v>100</v>
      </c>
      <c r="K144" s="7">
        <v>444</v>
      </c>
      <c r="L144" s="50">
        <v>3.352</v>
      </c>
      <c r="M144" s="42">
        <v>17</v>
      </c>
      <c r="N144" s="49" t="s">
        <v>327</v>
      </c>
      <c r="O144" s="44">
        <f t="shared" si="6"/>
        <v>56.984</v>
      </c>
      <c r="P144" s="49"/>
      <c r="R144" s="52"/>
    </row>
    <row r="145" s="37" customFormat="1" customHeight="1" spans="1:18">
      <c r="A145" s="46">
        <v>50</v>
      </c>
      <c r="B145" s="47" t="s">
        <v>254</v>
      </c>
      <c r="C145" s="46"/>
      <c r="D145" s="48" t="s">
        <v>299</v>
      </c>
      <c r="E145" s="48" t="s">
        <v>299</v>
      </c>
      <c r="F145" s="49"/>
      <c r="G145" s="49"/>
      <c r="H145" s="49"/>
      <c r="I145" s="7">
        <v>63</v>
      </c>
      <c r="J145" s="7">
        <v>100</v>
      </c>
      <c r="K145" s="7">
        <v>444</v>
      </c>
      <c r="L145" s="50">
        <v>3.352</v>
      </c>
      <c r="M145" s="42">
        <v>17</v>
      </c>
      <c r="N145" s="49" t="s">
        <v>327</v>
      </c>
      <c r="O145" s="44">
        <f t="shared" si="6"/>
        <v>56.984</v>
      </c>
      <c r="P145" s="49"/>
      <c r="R145" s="52"/>
    </row>
    <row r="146" s="37" customFormat="1" customHeight="1" spans="1:18">
      <c r="A146" s="46">
        <v>51</v>
      </c>
      <c r="B146" s="47" t="s">
        <v>254</v>
      </c>
      <c r="C146" s="46"/>
      <c r="D146" s="48" t="s">
        <v>300</v>
      </c>
      <c r="E146" s="48" t="s">
        <v>300</v>
      </c>
      <c r="F146" s="49"/>
      <c r="G146" s="49"/>
      <c r="H146" s="49"/>
      <c r="I146" s="7">
        <v>75</v>
      </c>
      <c r="J146" s="7">
        <v>50</v>
      </c>
      <c r="K146" s="7">
        <v>150</v>
      </c>
      <c r="L146" s="50">
        <v>0.855</v>
      </c>
      <c r="M146" s="42">
        <v>4</v>
      </c>
      <c r="N146" s="49" t="s">
        <v>327</v>
      </c>
      <c r="O146" s="44">
        <f t="shared" si="6"/>
        <v>3.42</v>
      </c>
      <c r="P146" s="49"/>
      <c r="R146" s="52"/>
    </row>
    <row r="147" s="37" customFormat="1" customHeight="1" spans="1:18">
      <c r="A147" s="46">
        <v>52</v>
      </c>
      <c r="B147" s="47" t="s">
        <v>254</v>
      </c>
      <c r="C147" s="46"/>
      <c r="D147" s="48" t="s">
        <v>301</v>
      </c>
      <c r="E147" s="48" t="s">
        <v>301</v>
      </c>
      <c r="F147" s="49"/>
      <c r="G147" s="49"/>
      <c r="H147" s="49"/>
      <c r="I147" s="7">
        <v>75</v>
      </c>
      <c r="J147" s="7">
        <v>50</v>
      </c>
      <c r="K147" s="7">
        <v>150</v>
      </c>
      <c r="L147" s="50">
        <v>0.855</v>
      </c>
      <c r="M147" s="42">
        <v>4</v>
      </c>
      <c r="N147" s="49" t="s">
        <v>327</v>
      </c>
      <c r="O147" s="44">
        <f t="shared" si="6"/>
        <v>3.42</v>
      </c>
      <c r="P147" s="49"/>
      <c r="R147" s="52"/>
    </row>
    <row r="148" s="37" customFormat="1" customHeight="1" spans="1:18">
      <c r="A148" s="46">
        <v>53</v>
      </c>
      <c r="B148" s="47" t="s">
        <v>254</v>
      </c>
      <c r="C148" s="46"/>
      <c r="D148" s="48" t="s">
        <v>302</v>
      </c>
      <c r="E148" s="48" t="s">
        <v>302</v>
      </c>
      <c r="F148" s="49"/>
      <c r="G148" s="49"/>
      <c r="H148" s="49"/>
      <c r="I148" s="7">
        <v>75</v>
      </c>
      <c r="J148" s="7">
        <v>50</v>
      </c>
      <c r="K148" s="7">
        <v>150</v>
      </c>
      <c r="L148" s="50">
        <v>0.855</v>
      </c>
      <c r="M148" s="42">
        <v>2</v>
      </c>
      <c r="N148" s="49" t="s">
        <v>327</v>
      </c>
      <c r="O148" s="44">
        <f t="shared" si="6"/>
        <v>1.71</v>
      </c>
      <c r="P148" s="49"/>
      <c r="R148" s="52"/>
    </row>
    <row r="149" s="37" customFormat="1" customHeight="1" spans="1:18">
      <c r="A149" s="46">
        <v>54</v>
      </c>
      <c r="B149" s="47" t="s">
        <v>254</v>
      </c>
      <c r="C149" s="46"/>
      <c r="D149" s="48" t="s">
        <v>303</v>
      </c>
      <c r="E149" s="48" t="s">
        <v>303</v>
      </c>
      <c r="F149" s="49"/>
      <c r="G149" s="49"/>
      <c r="H149" s="49"/>
      <c r="I149" s="7">
        <v>75</v>
      </c>
      <c r="J149" s="7">
        <v>50</v>
      </c>
      <c r="K149" s="7">
        <v>150</v>
      </c>
      <c r="L149" s="50">
        <v>0.855</v>
      </c>
      <c r="M149" s="42">
        <v>4</v>
      </c>
      <c r="N149" s="49" t="s">
        <v>327</v>
      </c>
      <c r="O149" s="44">
        <f t="shared" si="6"/>
        <v>3.42</v>
      </c>
      <c r="P149" s="49"/>
      <c r="Q149" s="37" t="s">
        <v>330</v>
      </c>
      <c r="R149" s="52"/>
    </row>
    <row r="150" s="37" customFormat="1" customHeight="1" spans="1:18">
      <c r="A150" s="46">
        <v>55</v>
      </c>
      <c r="B150" s="47" t="s">
        <v>76</v>
      </c>
      <c r="C150" s="46"/>
      <c r="D150" s="48" t="s">
        <v>339</v>
      </c>
      <c r="E150" s="48" t="s">
        <v>339</v>
      </c>
      <c r="F150" s="49" t="s">
        <v>328</v>
      </c>
      <c r="G150" s="49" t="s">
        <v>329</v>
      </c>
      <c r="H150" s="49" t="s">
        <v>329</v>
      </c>
      <c r="I150" s="58"/>
      <c r="J150" s="42"/>
      <c r="K150" s="42"/>
      <c r="L150" s="50">
        <v>1.0303125</v>
      </c>
      <c r="M150" s="42">
        <v>24</v>
      </c>
      <c r="N150" s="49" t="s">
        <v>327</v>
      </c>
      <c r="O150" s="44">
        <f t="shared" si="6"/>
        <v>24.7275</v>
      </c>
      <c r="P150" s="49"/>
      <c r="R150" s="52"/>
    </row>
    <row r="151" s="37" customFormat="1" customHeight="1" spans="1:18">
      <c r="A151" s="42"/>
      <c r="B151" s="42"/>
      <c r="C151" s="42"/>
      <c r="D151" s="45" t="s">
        <v>340</v>
      </c>
      <c r="E151" s="45"/>
      <c r="F151" s="42"/>
      <c r="G151" s="42"/>
      <c r="H151" s="42"/>
      <c r="I151" s="45" t="s">
        <v>341</v>
      </c>
      <c r="J151" s="42">
        <v>1080</v>
      </c>
      <c r="K151" s="42">
        <v>1100</v>
      </c>
      <c r="L151" s="42"/>
      <c r="M151" s="55"/>
      <c r="N151" s="45"/>
      <c r="O151" s="53">
        <v>126</v>
      </c>
      <c r="P151" s="45"/>
      <c r="Q151" s="37">
        <f>1100*1080*1080/1000000000</f>
        <v>1.28304</v>
      </c>
      <c r="R151" s="52" t="s">
        <v>331</v>
      </c>
    </row>
    <row r="152" s="37" customFormat="1" customHeight="1" spans="1:18">
      <c r="A152" s="54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49">
        <f>SUM(M96:M151)</f>
        <v>1520</v>
      </c>
      <c r="N152" s="55"/>
      <c r="O152" s="56">
        <f>SUM(O96:O151)</f>
        <v>1962.9725</v>
      </c>
      <c r="P152" s="57"/>
      <c r="R152" s="52"/>
    </row>
    <row r="156" customHeight="1" spans="1:18">
      <c r="A156" s="39" t="s">
        <v>312</v>
      </c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40"/>
      <c r="P156" s="39"/>
    </row>
    <row r="157" customHeight="1" spans="1:18">
      <c r="A157" s="41" t="s">
        <v>342</v>
      </c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</row>
    <row r="158" customHeight="1" spans="1:18">
      <c r="A158" s="42" t="s">
        <v>11</v>
      </c>
      <c r="B158" s="42" t="s">
        <v>57</v>
      </c>
      <c r="C158" s="42" t="s">
        <v>315</v>
      </c>
      <c r="D158" s="42" t="s">
        <v>316</v>
      </c>
      <c r="E158" s="42" t="s">
        <v>70</v>
      </c>
      <c r="F158" s="42" t="s">
        <v>317</v>
      </c>
      <c r="G158" s="42" t="s">
        <v>318</v>
      </c>
      <c r="H158" s="42" t="s">
        <v>319</v>
      </c>
      <c r="I158" s="42" t="s">
        <v>320</v>
      </c>
      <c r="J158" s="42" t="s">
        <v>321</v>
      </c>
      <c r="K158" s="42" t="s">
        <v>322</v>
      </c>
      <c r="L158" s="43" t="s">
        <v>323</v>
      </c>
      <c r="M158" s="42" t="s">
        <v>17</v>
      </c>
      <c r="N158" s="42" t="s">
        <v>324</v>
      </c>
      <c r="O158" s="44" t="s">
        <v>325</v>
      </c>
      <c r="P158" s="45" t="s">
        <v>326</v>
      </c>
    </row>
    <row r="159" customHeight="1" spans="1:18">
      <c r="A159" s="46">
        <v>1</v>
      </c>
      <c r="B159" s="47" t="s">
        <v>105</v>
      </c>
      <c r="C159" s="46"/>
      <c r="D159" s="48" t="s">
        <v>106</v>
      </c>
      <c r="E159" s="48" t="s">
        <v>106</v>
      </c>
      <c r="F159" s="49"/>
      <c r="G159" s="49"/>
      <c r="H159" s="49"/>
      <c r="I159" s="7">
        <v>600</v>
      </c>
      <c r="J159" s="7">
        <v>600</v>
      </c>
      <c r="K159" s="7">
        <v>7892</v>
      </c>
      <c r="L159" s="50">
        <v>799.296</v>
      </c>
      <c r="M159" s="58">
        <v>2</v>
      </c>
      <c r="N159" s="49" t="s">
        <v>327</v>
      </c>
      <c r="O159" s="44">
        <f t="shared" ref="O159:O174" si="7">+M159*L159</f>
        <v>1598.592</v>
      </c>
      <c r="P159" s="49"/>
    </row>
    <row r="160" customHeight="1" spans="1:18">
      <c r="A160" s="46">
        <v>2</v>
      </c>
      <c r="B160" s="47" t="s">
        <v>105</v>
      </c>
      <c r="C160" s="46"/>
      <c r="D160" s="48" t="s">
        <v>107</v>
      </c>
      <c r="E160" s="48" t="s">
        <v>107</v>
      </c>
      <c r="F160" s="49"/>
      <c r="G160" s="49"/>
      <c r="H160" s="49"/>
      <c r="I160" s="7">
        <v>600</v>
      </c>
      <c r="J160" s="7">
        <v>600</v>
      </c>
      <c r="K160" s="7">
        <v>7892</v>
      </c>
      <c r="L160" s="50">
        <v>798.09</v>
      </c>
      <c r="M160" s="58">
        <v>1</v>
      </c>
      <c r="N160" s="49" t="s">
        <v>327</v>
      </c>
      <c r="O160" s="44">
        <f t="shared" si="7"/>
        <v>798.09</v>
      </c>
      <c r="P160" s="49"/>
    </row>
    <row r="161" customHeight="1" spans="1:18">
      <c r="A161" s="46">
        <v>3</v>
      </c>
      <c r="B161" s="47" t="s">
        <v>105</v>
      </c>
      <c r="C161" s="46"/>
      <c r="D161" s="48" t="s">
        <v>109</v>
      </c>
      <c r="E161" s="48" t="s">
        <v>110</v>
      </c>
      <c r="F161" s="49"/>
      <c r="G161" s="49"/>
      <c r="H161" s="49"/>
      <c r="I161" s="7">
        <v>300</v>
      </c>
      <c r="J161" s="7">
        <v>300</v>
      </c>
      <c r="K161" s="7">
        <v>7892</v>
      </c>
      <c r="L161" s="50">
        <v>718.646</v>
      </c>
      <c r="M161" s="58">
        <v>1</v>
      </c>
      <c r="N161" s="49" t="s">
        <v>327</v>
      </c>
      <c r="O161" s="44">
        <f t="shared" si="7"/>
        <v>718.646</v>
      </c>
      <c r="P161" s="49"/>
    </row>
    <row r="162" customHeight="1" spans="1:18">
      <c r="A162" s="46">
        <v>4</v>
      </c>
      <c r="B162" s="47" t="s">
        <v>105</v>
      </c>
      <c r="C162" s="46"/>
      <c r="D162" s="48" t="s">
        <v>111</v>
      </c>
      <c r="E162" s="48" t="s">
        <v>110</v>
      </c>
      <c r="F162" s="49"/>
      <c r="G162" s="49"/>
      <c r="H162" s="49"/>
      <c r="I162" s="7">
        <v>300</v>
      </c>
      <c r="J162" s="7">
        <v>300</v>
      </c>
      <c r="K162" s="7">
        <v>7760</v>
      </c>
      <c r="L162" s="50">
        <v>706.626</v>
      </c>
      <c r="M162" s="58">
        <v>2</v>
      </c>
      <c r="N162" s="49" t="s">
        <v>327</v>
      </c>
      <c r="O162" s="44">
        <f t="shared" si="7"/>
        <v>1413.252</v>
      </c>
      <c r="P162" s="49"/>
    </row>
    <row r="163" customHeight="1" spans="1:18">
      <c r="A163" s="46">
        <v>5</v>
      </c>
      <c r="B163" s="47" t="s">
        <v>105</v>
      </c>
      <c r="C163" s="46"/>
      <c r="D163" s="48" t="s">
        <v>113</v>
      </c>
      <c r="E163" s="48" t="s">
        <v>113</v>
      </c>
      <c r="F163" s="49"/>
      <c r="G163" s="49"/>
      <c r="H163" s="49"/>
      <c r="I163" s="7">
        <v>4156.5</v>
      </c>
      <c r="J163" s="7">
        <v>955</v>
      </c>
      <c r="K163" s="7">
        <v>4880</v>
      </c>
      <c r="L163" s="50">
        <v>418.585</v>
      </c>
      <c r="M163" s="58">
        <v>1</v>
      </c>
      <c r="N163" s="49" t="s">
        <v>327</v>
      </c>
      <c r="O163" s="44">
        <f t="shared" si="7"/>
        <v>418.585</v>
      </c>
      <c r="P163" s="49"/>
    </row>
    <row r="164" customHeight="1" spans="1:18">
      <c r="A164" s="46">
        <v>6</v>
      </c>
      <c r="B164" s="47" t="s">
        <v>115</v>
      </c>
      <c r="C164" s="46"/>
      <c r="D164" s="48" t="s">
        <v>116</v>
      </c>
      <c r="E164" s="48" t="s">
        <v>116</v>
      </c>
      <c r="F164" s="49"/>
      <c r="G164" s="49"/>
      <c r="H164" s="49"/>
      <c r="I164" s="7">
        <v>1695</v>
      </c>
      <c r="J164" s="7">
        <v>6137.5</v>
      </c>
      <c r="K164" s="7">
        <v>42</v>
      </c>
      <c r="L164" s="50">
        <v>52.872</v>
      </c>
      <c r="M164" s="58">
        <v>1</v>
      </c>
      <c r="N164" s="49" t="s">
        <v>327</v>
      </c>
      <c r="O164" s="44">
        <f t="shared" si="7"/>
        <v>52.872</v>
      </c>
      <c r="P164" s="49"/>
    </row>
    <row r="165" customHeight="1" spans="1:18">
      <c r="A165" s="46">
        <v>7</v>
      </c>
      <c r="B165" s="47" t="s">
        <v>115</v>
      </c>
      <c r="C165" s="46"/>
      <c r="D165" s="48" t="s">
        <v>117</v>
      </c>
      <c r="E165" s="48" t="s">
        <v>117</v>
      </c>
      <c r="F165" s="49"/>
      <c r="G165" s="49"/>
      <c r="H165" s="49"/>
      <c r="I165" s="7">
        <v>1695</v>
      </c>
      <c r="J165" s="7">
        <v>5566</v>
      </c>
      <c r="K165" s="7">
        <v>42</v>
      </c>
      <c r="L165" s="50">
        <v>40.371</v>
      </c>
      <c r="M165" s="58">
        <v>1</v>
      </c>
      <c r="N165" s="49" t="s">
        <v>327</v>
      </c>
      <c r="O165" s="44">
        <f t="shared" si="7"/>
        <v>40.371</v>
      </c>
      <c r="P165" s="49"/>
    </row>
    <row r="166" customHeight="1" spans="1:18">
      <c r="A166" s="46">
        <v>8</v>
      </c>
      <c r="B166" s="47" t="s">
        <v>115</v>
      </c>
      <c r="C166" s="46"/>
      <c r="D166" s="48" t="s">
        <v>118</v>
      </c>
      <c r="E166" s="48" t="s">
        <v>118</v>
      </c>
      <c r="F166" s="49"/>
      <c r="G166" s="49"/>
      <c r="H166" s="49"/>
      <c r="I166" s="7">
        <v>1569.5</v>
      </c>
      <c r="J166" s="7">
        <v>5655</v>
      </c>
      <c r="K166" s="7">
        <v>42</v>
      </c>
      <c r="L166" s="50">
        <v>49.014</v>
      </c>
      <c r="M166" s="58">
        <v>1</v>
      </c>
      <c r="N166" s="49" t="s">
        <v>327</v>
      </c>
      <c r="O166" s="44">
        <f t="shared" si="7"/>
        <v>49.014</v>
      </c>
      <c r="P166" s="49"/>
    </row>
    <row r="167" customHeight="1" spans="1:18">
      <c r="A167" s="46">
        <v>9</v>
      </c>
      <c r="B167" s="47" t="s">
        <v>115</v>
      </c>
      <c r="C167" s="46"/>
      <c r="D167" s="48" t="s">
        <v>119</v>
      </c>
      <c r="E167" s="48" t="s">
        <v>119</v>
      </c>
      <c r="F167" s="49"/>
      <c r="G167" s="49"/>
      <c r="H167" s="49"/>
      <c r="I167" s="7">
        <v>1569.5</v>
      </c>
      <c r="J167" s="7">
        <v>5150.5</v>
      </c>
      <c r="K167" s="7">
        <v>42</v>
      </c>
      <c r="L167" s="50">
        <v>37.493</v>
      </c>
      <c r="M167" s="58">
        <v>1</v>
      </c>
      <c r="N167" s="49" t="s">
        <v>327</v>
      </c>
      <c r="O167" s="44">
        <f t="shared" si="7"/>
        <v>37.493</v>
      </c>
      <c r="P167" s="49"/>
    </row>
    <row r="168" customHeight="1" spans="1:18">
      <c r="A168" s="46">
        <v>10</v>
      </c>
      <c r="B168" s="47" t="s">
        <v>105</v>
      </c>
      <c r="C168" s="46"/>
      <c r="D168" s="48" t="s">
        <v>150</v>
      </c>
      <c r="E168" s="48" t="s">
        <v>139</v>
      </c>
      <c r="F168" s="49"/>
      <c r="G168" s="49"/>
      <c r="H168" s="49"/>
      <c r="I168" s="7">
        <v>120</v>
      </c>
      <c r="J168" s="7">
        <v>120</v>
      </c>
      <c r="K168" s="7">
        <v>6000</v>
      </c>
      <c r="L168" s="50">
        <v>128.866</v>
      </c>
      <c r="M168" s="58">
        <v>2</v>
      </c>
      <c r="N168" s="49" t="s">
        <v>327</v>
      </c>
      <c r="O168" s="44">
        <f t="shared" si="7"/>
        <v>257.732</v>
      </c>
      <c r="P168" s="49"/>
    </row>
    <row r="169" customHeight="1" spans="1:18">
      <c r="A169" s="46">
        <v>11</v>
      </c>
      <c r="B169" s="47" t="s">
        <v>105</v>
      </c>
      <c r="C169" s="46"/>
      <c r="D169" s="48" t="s">
        <v>189</v>
      </c>
      <c r="E169" s="48" t="s">
        <v>179</v>
      </c>
      <c r="F169" s="49"/>
      <c r="G169" s="49"/>
      <c r="H169" s="49"/>
      <c r="I169" s="7">
        <v>80</v>
      </c>
      <c r="J169" s="7">
        <v>80</v>
      </c>
      <c r="K169" s="7">
        <v>6000</v>
      </c>
      <c r="L169" s="50">
        <v>57.274</v>
      </c>
      <c r="M169" s="58">
        <v>2</v>
      </c>
      <c r="N169" s="49" t="s">
        <v>327</v>
      </c>
      <c r="O169" s="44">
        <f t="shared" si="7"/>
        <v>114.548</v>
      </c>
      <c r="P169" s="49"/>
    </row>
    <row r="170" customHeight="1" spans="1:18">
      <c r="A170" s="46">
        <v>12</v>
      </c>
      <c r="B170" s="47" t="s">
        <v>105</v>
      </c>
      <c r="C170" s="46"/>
      <c r="D170" s="48" t="s">
        <v>207</v>
      </c>
      <c r="E170" s="48" t="s">
        <v>208</v>
      </c>
      <c r="F170" s="49"/>
      <c r="G170" s="49"/>
      <c r="H170" s="49"/>
      <c r="I170" s="7">
        <v>100</v>
      </c>
      <c r="J170" s="7">
        <v>100</v>
      </c>
      <c r="K170" s="7">
        <v>5431</v>
      </c>
      <c r="L170" s="50">
        <v>65.485</v>
      </c>
      <c r="M170" s="58">
        <v>1</v>
      </c>
      <c r="N170" s="49" t="s">
        <v>327</v>
      </c>
      <c r="O170" s="44">
        <f t="shared" si="7"/>
        <v>65.485</v>
      </c>
      <c r="P170" s="49"/>
    </row>
    <row r="171" customHeight="1" spans="1:18">
      <c r="A171" s="46">
        <v>13</v>
      </c>
      <c r="B171" s="47" t="s">
        <v>105</v>
      </c>
      <c r="C171" s="46"/>
      <c r="D171" s="48" t="s">
        <v>233</v>
      </c>
      <c r="E171" s="48" t="s">
        <v>231</v>
      </c>
      <c r="F171" s="49"/>
      <c r="G171" s="49"/>
      <c r="H171" s="49"/>
      <c r="I171" s="7">
        <v>50</v>
      </c>
      <c r="J171" s="7">
        <v>50</v>
      </c>
      <c r="K171" s="7">
        <v>5797</v>
      </c>
      <c r="L171" s="50">
        <v>40.956</v>
      </c>
      <c r="M171" s="58">
        <v>1</v>
      </c>
      <c r="N171" s="49" t="s">
        <v>327</v>
      </c>
      <c r="O171" s="44">
        <f t="shared" si="7"/>
        <v>40.956</v>
      </c>
      <c r="P171" s="49"/>
      <c r="Q171" s="37" t="s">
        <v>330</v>
      </c>
    </row>
    <row r="172" customHeight="1" spans="1:18">
      <c r="A172" s="46">
        <v>14</v>
      </c>
      <c r="B172" s="47" t="s">
        <v>105</v>
      </c>
      <c r="C172" s="46"/>
      <c r="D172" s="48" t="s">
        <v>238</v>
      </c>
      <c r="E172" s="48" t="s">
        <v>231</v>
      </c>
      <c r="F172" s="49"/>
      <c r="G172" s="49"/>
      <c r="H172" s="49"/>
      <c r="I172" s="7">
        <v>50</v>
      </c>
      <c r="J172" s="7">
        <v>50</v>
      </c>
      <c r="K172" s="7">
        <v>6000</v>
      </c>
      <c r="L172" s="50">
        <v>42.39</v>
      </c>
      <c r="M172" s="58">
        <v>1</v>
      </c>
      <c r="N172" s="49" t="s">
        <v>327</v>
      </c>
      <c r="O172" s="44">
        <f t="shared" si="7"/>
        <v>42.39</v>
      </c>
      <c r="P172" s="49"/>
    </row>
    <row r="173" customHeight="1" spans="1:18">
      <c r="A173" s="46">
        <v>15</v>
      </c>
      <c r="B173" s="47" t="s">
        <v>105</v>
      </c>
      <c r="C173" s="46"/>
      <c r="D173" s="48" t="s">
        <v>239</v>
      </c>
      <c r="E173" s="48" t="s">
        <v>240</v>
      </c>
      <c r="F173" s="49"/>
      <c r="G173" s="49"/>
      <c r="H173" s="49"/>
      <c r="I173" s="7">
        <v>50</v>
      </c>
      <c r="J173" s="7">
        <v>50</v>
      </c>
      <c r="K173" s="7">
        <v>5747</v>
      </c>
      <c r="L173" s="50">
        <v>40.603</v>
      </c>
      <c r="M173" s="58">
        <v>1</v>
      </c>
      <c r="N173" s="49" t="s">
        <v>327</v>
      </c>
      <c r="O173" s="44">
        <f t="shared" si="7"/>
        <v>40.603</v>
      </c>
      <c r="P173" s="49"/>
      <c r="Q173" s="37">
        <f>6000*1100*1550/1000000000</f>
        <v>10.23</v>
      </c>
      <c r="R173" s="52" t="s">
        <v>331</v>
      </c>
    </row>
    <row r="174" customHeight="1" spans="1:18">
      <c r="A174" s="46">
        <v>16</v>
      </c>
      <c r="B174" s="47" t="s">
        <v>105</v>
      </c>
      <c r="C174" s="46"/>
      <c r="D174" s="48" t="s">
        <v>241</v>
      </c>
      <c r="E174" s="48" t="s">
        <v>240</v>
      </c>
      <c r="F174" s="49"/>
      <c r="G174" s="49"/>
      <c r="H174" s="49"/>
      <c r="I174" s="7">
        <v>50</v>
      </c>
      <c r="J174" s="7">
        <v>50</v>
      </c>
      <c r="K174" s="7">
        <v>5527</v>
      </c>
      <c r="L174" s="50">
        <v>39.048</v>
      </c>
      <c r="M174" s="58">
        <v>1</v>
      </c>
      <c r="N174" s="49" t="s">
        <v>327</v>
      </c>
      <c r="O174" s="44">
        <f t="shared" si="7"/>
        <v>39.048</v>
      </c>
      <c r="P174" s="49"/>
    </row>
    <row r="175" customHeight="1" spans="1:18">
      <c r="A175" s="46"/>
      <c r="B175" s="42"/>
      <c r="C175" s="42"/>
      <c r="D175" s="45" t="s">
        <v>343</v>
      </c>
      <c r="E175" s="45"/>
      <c r="F175" s="42"/>
      <c r="G175" s="42"/>
      <c r="H175" s="42"/>
      <c r="I175" s="59">
        <v>6000</v>
      </c>
      <c r="J175" s="42">
        <v>1100</v>
      </c>
      <c r="K175" s="42">
        <v>1550</v>
      </c>
      <c r="L175" s="42"/>
      <c r="M175" s="58">
        <v>1</v>
      </c>
      <c r="N175" s="45"/>
      <c r="O175" s="53">
        <v>251</v>
      </c>
      <c r="P175" s="45"/>
    </row>
    <row r="176" customHeight="1" spans="1:18">
      <c r="A176" s="54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49">
        <f>SUM(M159:M174)</f>
        <v>20</v>
      </c>
      <c r="N176" s="55"/>
      <c r="O176" s="56">
        <f>SUM(O159:O175)</f>
        <v>5978.677</v>
      </c>
      <c r="P176" s="57"/>
    </row>
    <row r="178" customHeight="1" spans="1:19">
      <c r="A178" s="39" t="s">
        <v>312</v>
      </c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40"/>
      <c r="P178" s="39"/>
    </row>
    <row r="179" customHeight="1" spans="1:19">
      <c r="A179" s="41" t="s">
        <v>344</v>
      </c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</row>
    <row r="180" customHeight="1" spans="1:19">
      <c r="A180" s="42" t="s">
        <v>11</v>
      </c>
      <c r="B180" s="42" t="s">
        <v>57</v>
      </c>
      <c r="C180" s="42" t="s">
        <v>315</v>
      </c>
      <c r="D180" s="42" t="s">
        <v>316</v>
      </c>
      <c r="E180" s="42" t="s">
        <v>70</v>
      </c>
      <c r="F180" s="42" t="s">
        <v>317</v>
      </c>
      <c r="G180" s="42" t="s">
        <v>318</v>
      </c>
      <c r="H180" s="42" t="s">
        <v>319</v>
      </c>
      <c r="I180" s="42" t="s">
        <v>320</v>
      </c>
      <c r="J180" s="42" t="s">
        <v>321</v>
      </c>
      <c r="K180" s="42" t="s">
        <v>322</v>
      </c>
      <c r="L180" s="43" t="s">
        <v>323</v>
      </c>
      <c r="M180" s="42" t="s">
        <v>17</v>
      </c>
      <c r="N180" s="42" t="s">
        <v>324</v>
      </c>
      <c r="O180" s="44" t="s">
        <v>325</v>
      </c>
      <c r="P180" s="45" t="s">
        <v>326</v>
      </c>
    </row>
    <row r="181" customHeight="1" spans="1:19">
      <c r="A181" s="46">
        <v>1</v>
      </c>
      <c r="B181" s="47" t="s">
        <v>105</v>
      </c>
      <c r="C181" s="46"/>
      <c r="D181" s="48" t="s">
        <v>106</v>
      </c>
      <c r="E181" s="48" t="s">
        <v>106</v>
      </c>
      <c r="F181" s="49"/>
      <c r="G181" s="49"/>
      <c r="H181" s="49"/>
      <c r="I181" s="7">
        <v>600</v>
      </c>
      <c r="J181" s="7">
        <v>600</v>
      </c>
      <c r="K181" s="7">
        <v>7892</v>
      </c>
      <c r="L181" s="50">
        <v>799.296</v>
      </c>
      <c r="M181" s="58">
        <v>2</v>
      </c>
      <c r="N181" s="49" t="s">
        <v>327</v>
      </c>
      <c r="O181" s="44">
        <f t="shared" ref="O181:O196" si="8">+M181*L181</f>
        <v>1598.592</v>
      </c>
      <c r="P181" s="49"/>
    </row>
    <row r="182" customHeight="1" spans="1:19">
      <c r="A182" s="46">
        <v>2</v>
      </c>
      <c r="B182" s="47" t="s">
        <v>105</v>
      </c>
      <c r="C182" s="46"/>
      <c r="D182" s="48" t="s">
        <v>108</v>
      </c>
      <c r="E182" s="48" t="s">
        <v>108</v>
      </c>
      <c r="F182" s="49"/>
      <c r="G182" s="49"/>
      <c r="H182" s="49"/>
      <c r="I182" s="7">
        <v>600</v>
      </c>
      <c r="J182" s="7">
        <v>600</v>
      </c>
      <c r="K182" s="7">
        <v>7892</v>
      </c>
      <c r="L182" s="50">
        <v>798.693</v>
      </c>
      <c r="M182" s="58">
        <v>1</v>
      </c>
      <c r="N182" s="49" t="s">
        <v>327</v>
      </c>
      <c r="O182" s="44">
        <f t="shared" si="8"/>
        <v>798.693</v>
      </c>
      <c r="P182" s="49"/>
    </row>
    <row r="183" customHeight="1" spans="1:19">
      <c r="A183" s="46">
        <v>3</v>
      </c>
      <c r="B183" s="47" t="s">
        <v>105</v>
      </c>
      <c r="C183" s="46"/>
      <c r="D183" s="48" t="s">
        <v>109</v>
      </c>
      <c r="E183" s="48" t="s">
        <v>110</v>
      </c>
      <c r="F183" s="49"/>
      <c r="G183" s="49"/>
      <c r="H183" s="49"/>
      <c r="I183" s="7">
        <v>300</v>
      </c>
      <c r="J183" s="7">
        <v>300</v>
      </c>
      <c r="K183" s="7">
        <v>7892</v>
      </c>
      <c r="L183" s="50">
        <v>718.646</v>
      </c>
      <c r="M183" s="58">
        <v>2</v>
      </c>
      <c r="N183" s="49" t="s">
        <v>327</v>
      </c>
      <c r="O183" s="44">
        <f t="shared" si="8"/>
        <v>1437.292</v>
      </c>
      <c r="P183" s="49"/>
    </row>
    <row r="184" customHeight="1" spans="1:19">
      <c r="A184" s="46">
        <v>4</v>
      </c>
      <c r="B184" s="47" t="s">
        <v>105</v>
      </c>
      <c r="C184" s="46"/>
      <c r="D184" s="48" t="s">
        <v>111</v>
      </c>
      <c r="E184" s="48" t="s">
        <v>110</v>
      </c>
      <c r="F184" s="49"/>
      <c r="G184" s="49"/>
      <c r="H184" s="49"/>
      <c r="I184" s="7">
        <v>300</v>
      </c>
      <c r="J184" s="7">
        <v>300</v>
      </c>
      <c r="K184" s="7">
        <v>7760</v>
      </c>
      <c r="L184" s="50">
        <v>706.626</v>
      </c>
      <c r="M184" s="58">
        <v>1</v>
      </c>
      <c r="N184" s="49" t="s">
        <v>327</v>
      </c>
      <c r="O184" s="44">
        <f t="shared" si="8"/>
        <v>706.626</v>
      </c>
      <c r="P184" s="49"/>
    </row>
    <row r="185" customHeight="1" spans="1:19">
      <c r="A185" s="46">
        <v>5</v>
      </c>
      <c r="B185" s="47" t="s">
        <v>105</v>
      </c>
      <c r="C185" s="46"/>
      <c r="D185" s="48" t="s">
        <v>112</v>
      </c>
      <c r="E185" s="48" t="s">
        <v>112</v>
      </c>
      <c r="F185" s="49"/>
      <c r="G185" s="49"/>
      <c r="H185" s="49"/>
      <c r="I185" s="7">
        <v>150</v>
      </c>
      <c r="J185" s="7">
        <v>150</v>
      </c>
      <c r="K185" s="7">
        <v>3801</v>
      </c>
      <c r="L185" s="50">
        <v>69.701</v>
      </c>
      <c r="M185" s="58">
        <v>5</v>
      </c>
      <c r="N185" s="49" t="s">
        <v>327</v>
      </c>
      <c r="O185" s="44">
        <f t="shared" si="8"/>
        <v>348.505</v>
      </c>
      <c r="P185" s="49"/>
      <c r="Q185" s="37" t="s">
        <v>330</v>
      </c>
    </row>
    <row r="186" customHeight="1" spans="1:19">
      <c r="A186" s="46">
        <v>6</v>
      </c>
      <c r="B186" s="47" t="s">
        <v>105</v>
      </c>
      <c r="C186" s="46"/>
      <c r="D186" s="48" t="s">
        <v>114</v>
      </c>
      <c r="E186" s="48" t="s">
        <v>114</v>
      </c>
      <c r="F186" s="49"/>
      <c r="G186" s="49"/>
      <c r="H186" s="49"/>
      <c r="I186" s="7">
        <v>4074</v>
      </c>
      <c r="J186" s="7">
        <v>955</v>
      </c>
      <c r="K186" s="7">
        <v>4307.5</v>
      </c>
      <c r="L186" s="50">
        <v>399.364</v>
      </c>
      <c r="M186" s="58">
        <v>1</v>
      </c>
      <c r="N186" s="49" t="s">
        <v>327</v>
      </c>
      <c r="O186" s="44">
        <f t="shared" si="8"/>
        <v>399.364</v>
      </c>
      <c r="P186" s="49"/>
    </row>
    <row r="187" customHeight="1" spans="1:19">
      <c r="A187" s="46">
        <v>7</v>
      </c>
      <c r="B187" s="47" t="s">
        <v>105</v>
      </c>
      <c r="C187" s="46"/>
      <c r="D187" s="48" t="s">
        <v>211</v>
      </c>
      <c r="E187" s="48" t="s">
        <v>211</v>
      </c>
      <c r="F187" s="49"/>
      <c r="G187" s="49"/>
      <c r="H187" s="49"/>
      <c r="I187" s="7">
        <v>400</v>
      </c>
      <c r="J187" s="7">
        <v>400</v>
      </c>
      <c r="K187" s="7">
        <v>2000</v>
      </c>
      <c r="L187" s="50">
        <v>65.014</v>
      </c>
      <c r="M187" s="58">
        <v>4</v>
      </c>
      <c r="N187" s="49" t="s">
        <v>327</v>
      </c>
      <c r="O187" s="44">
        <f t="shared" si="8"/>
        <v>260.056</v>
      </c>
      <c r="P187" s="49"/>
      <c r="Q187" s="37">
        <f>1550*1100*6000/1000000000</f>
        <v>10.23</v>
      </c>
      <c r="R187" s="52" t="s">
        <v>331</v>
      </c>
    </row>
    <row r="188" customHeight="1" spans="1:19">
      <c r="A188" s="46"/>
      <c r="B188" s="42"/>
      <c r="C188" s="42"/>
      <c r="D188" s="45" t="s">
        <v>343</v>
      </c>
      <c r="E188" s="45"/>
      <c r="F188" s="42"/>
      <c r="G188" s="42"/>
      <c r="H188" s="42"/>
      <c r="I188" s="59">
        <v>6000</v>
      </c>
      <c r="J188" s="42">
        <v>1100</v>
      </c>
      <c r="K188" s="42">
        <v>1550</v>
      </c>
      <c r="L188" s="42"/>
      <c r="M188" s="58">
        <v>1</v>
      </c>
      <c r="N188" s="45"/>
      <c r="O188" s="53">
        <v>251</v>
      </c>
      <c r="P188" s="45"/>
    </row>
    <row r="189" customHeight="1" spans="1:19">
      <c r="A189" s="54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49">
        <f>SUM(M181:M187)</f>
        <v>16</v>
      </c>
      <c r="N189" s="55"/>
      <c r="O189" s="56">
        <f>SUM(O181:O188)</f>
        <v>5800.128</v>
      </c>
      <c r="P189" s="57"/>
    </row>
    <row r="192" customHeight="1" spans="1:19">
      <c r="Q192" s="37" t="s">
        <v>345</v>
      </c>
      <c r="R192" s="38">
        <f>+Q187+Q173+Q151+Q86+Q58+Q14</f>
        <v>27.51804</v>
      </c>
      <c r="S192" s="52" t="s">
        <v>331</v>
      </c>
    </row>
    <row r="194" customHeight="1" spans="17:17">
      <c r="Q194" s="60" t="s">
        <v>346</v>
      </c>
    </row>
    <row r="195" customHeight="1" spans="17:17">
      <c r="Q195" s="60" t="s">
        <v>347</v>
      </c>
    </row>
  </sheetData>
  <mergeCells count="12">
    <mergeCell ref="A1:P1"/>
    <mergeCell ref="A2:P2"/>
    <mergeCell ref="A23:P23"/>
    <mergeCell ref="A24:P24"/>
    <mergeCell ref="A62:P62"/>
    <mergeCell ref="A63:P63"/>
    <mergeCell ref="A93:P93"/>
    <mergeCell ref="A94:P94"/>
    <mergeCell ref="A156:P156"/>
    <mergeCell ref="A157:P157"/>
    <mergeCell ref="A178:P178"/>
    <mergeCell ref="A179:P179"/>
  </mergeCells>
  <printOptions horizontalCentered="1"/>
  <pageMargins left="0" right="0" top="0" bottom="0" header="0.5" footer="0.5"/>
  <pageSetup paperSize="9" scale="55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3:S103"/>
  <sheetViews>
    <sheetView topLeftCell="A73" workbookViewId="0">
      <selection activeCell="S91" sqref="S91"/>
    </sheetView>
  </sheetViews>
  <sheetFormatPr defaultColWidth="9" defaultRowHeight="20" customHeight="1"/>
  <cols>
    <col min="1" max="1" width="9" style="37"/>
    <col min="2" max="2" width="14.875" style="37" customWidth="1"/>
    <col min="3" max="3" width="14.875" style="37" hidden="1" customWidth="1"/>
    <col min="4" max="4" width="18" style="37" customWidth="1"/>
    <col min="5" max="5" width="19.75" style="37" customWidth="1"/>
    <col min="6" max="8" width="9" style="37" hidden="1" customWidth="1"/>
    <col min="9" max="11" width="9" style="37"/>
    <col min="12" max="12" width="13.125" style="37" customWidth="1"/>
    <col min="13" max="13" width="7" style="37" customWidth="1"/>
    <col min="14" max="14" width="7.625" style="37" customWidth="1"/>
    <col min="15" max="15" width="14.25" style="37" customWidth="1"/>
    <col min="16" max="16" width="9.375" style="37"/>
    <col min="17" max="17" width="24.5" style="38" customWidth="1"/>
    <col min="18" max="18" width="5.25" style="37" customWidth="1"/>
    <col min="19" max="21" width="24.5" style="37" customWidth="1"/>
    <col min="22" max="16384" width="9" style="37"/>
  </cols>
  <sheetData>
    <row r="3" customHeight="1" spans="1:17">
      <c r="A3" s="39" t="s">
        <v>312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0"/>
      <c r="P3" s="39"/>
      <c r="Q3" s="38" t="s">
        <v>348</v>
      </c>
    </row>
    <row r="4" customHeight="1" spans="1:17">
      <c r="A4" s="41" t="s">
        <v>349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</row>
    <row r="5" customHeight="1" spans="1:17">
      <c r="A5" s="42" t="s">
        <v>11</v>
      </c>
      <c r="B5" s="42" t="s">
        <v>57</v>
      </c>
      <c r="C5" s="42" t="s">
        <v>315</v>
      </c>
      <c r="D5" s="42" t="s">
        <v>316</v>
      </c>
      <c r="E5" s="42" t="s">
        <v>70</v>
      </c>
      <c r="F5" s="42" t="s">
        <v>317</v>
      </c>
      <c r="G5" s="42" t="s">
        <v>318</v>
      </c>
      <c r="H5" s="42" t="s">
        <v>319</v>
      </c>
      <c r="I5" s="42" t="s">
        <v>320</v>
      </c>
      <c r="J5" s="42" t="s">
        <v>321</v>
      </c>
      <c r="K5" s="42" t="s">
        <v>322</v>
      </c>
      <c r="L5" s="43" t="s">
        <v>323</v>
      </c>
      <c r="M5" s="42" t="s">
        <v>17</v>
      </c>
      <c r="N5" s="42" t="s">
        <v>324</v>
      </c>
      <c r="O5" s="44" t="s">
        <v>325</v>
      </c>
      <c r="P5" s="45" t="s">
        <v>326</v>
      </c>
    </row>
    <row r="6" customHeight="1" spans="1:17">
      <c r="A6" s="46">
        <v>1</v>
      </c>
      <c r="B6" s="47" t="s">
        <v>115</v>
      </c>
      <c r="C6" s="46"/>
      <c r="D6" s="48" t="s">
        <v>121</v>
      </c>
      <c r="E6" s="48" t="s">
        <v>121</v>
      </c>
      <c r="F6" s="49"/>
      <c r="G6" s="49"/>
      <c r="H6" s="49"/>
      <c r="I6" s="7">
        <v>747</v>
      </c>
      <c r="J6" s="7">
        <v>1100</v>
      </c>
      <c r="K6" s="7">
        <v>42</v>
      </c>
      <c r="L6" s="50">
        <v>9.566</v>
      </c>
      <c r="M6" s="51">
        <v>1</v>
      </c>
      <c r="N6" s="49" t="s">
        <v>327</v>
      </c>
      <c r="O6" s="44">
        <f t="shared" ref="O6:O24" si="0">+M6*L6</f>
        <v>9.566</v>
      </c>
      <c r="P6" s="49"/>
    </row>
    <row r="7" customHeight="1" spans="1:17">
      <c r="A7" s="46">
        <v>2</v>
      </c>
      <c r="B7" s="47" t="s">
        <v>105</v>
      </c>
      <c r="C7" s="46"/>
      <c r="D7" s="48" t="s">
        <v>156</v>
      </c>
      <c r="E7" s="48" t="s">
        <v>156</v>
      </c>
      <c r="F7" s="49"/>
      <c r="G7" s="49"/>
      <c r="H7" s="49"/>
      <c r="I7" s="7">
        <v>120</v>
      </c>
      <c r="J7" s="7">
        <v>260</v>
      </c>
      <c r="K7" s="7">
        <v>1847</v>
      </c>
      <c r="L7" s="50">
        <v>47.062</v>
      </c>
      <c r="M7" s="51">
        <v>1</v>
      </c>
      <c r="N7" s="49" t="s">
        <v>327</v>
      </c>
      <c r="O7" s="44">
        <f t="shared" si="0"/>
        <v>47.062</v>
      </c>
      <c r="P7" s="49"/>
    </row>
    <row r="8" customHeight="1" spans="1:17">
      <c r="A8" s="46">
        <v>3</v>
      </c>
      <c r="B8" s="47" t="s">
        <v>105</v>
      </c>
      <c r="C8" s="46"/>
      <c r="D8" s="48" t="s">
        <v>157</v>
      </c>
      <c r="E8" s="48" t="s">
        <v>157</v>
      </c>
      <c r="F8" s="49"/>
      <c r="G8" s="49"/>
      <c r="H8" s="49"/>
      <c r="I8" s="7">
        <v>120</v>
      </c>
      <c r="J8" s="7">
        <v>260</v>
      </c>
      <c r="K8" s="7">
        <v>1751.5</v>
      </c>
      <c r="L8" s="50">
        <v>44.248</v>
      </c>
      <c r="M8" s="51">
        <v>3</v>
      </c>
      <c r="N8" s="49" t="s">
        <v>327</v>
      </c>
      <c r="O8" s="44">
        <f t="shared" si="0"/>
        <v>132.744</v>
      </c>
      <c r="P8" s="49"/>
    </row>
    <row r="9" customHeight="1" spans="1:17">
      <c r="A9" s="46">
        <v>4</v>
      </c>
      <c r="B9" s="47" t="s">
        <v>105</v>
      </c>
      <c r="C9" s="46"/>
      <c r="D9" s="48" t="s">
        <v>158</v>
      </c>
      <c r="E9" s="48" t="s">
        <v>158</v>
      </c>
      <c r="F9" s="49"/>
      <c r="G9" s="49"/>
      <c r="H9" s="49"/>
      <c r="I9" s="7">
        <v>1495</v>
      </c>
      <c r="J9" s="7">
        <v>2077</v>
      </c>
      <c r="K9" s="7">
        <v>120</v>
      </c>
      <c r="L9" s="50">
        <v>80.087</v>
      </c>
      <c r="M9" s="51">
        <v>1</v>
      </c>
      <c r="N9" s="49" t="s">
        <v>327</v>
      </c>
      <c r="O9" s="44">
        <f t="shared" si="0"/>
        <v>80.087</v>
      </c>
      <c r="P9" s="49"/>
    </row>
    <row r="10" customHeight="1" spans="1:17">
      <c r="A10" s="46">
        <v>5</v>
      </c>
      <c r="B10" s="47" t="s">
        <v>105</v>
      </c>
      <c r="C10" s="46"/>
      <c r="D10" s="48" t="s">
        <v>163</v>
      </c>
      <c r="E10" s="48" t="s">
        <v>162</v>
      </c>
      <c r="F10" s="49"/>
      <c r="G10" s="49"/>
      <c r="H10" s="49"/>
      <c r="I10" s="7">
        <v>905</v>
      </c>
      <c r="J10" s="7">
        <v>1430</v>
      </c>
      <c r="K10" s="7">
        <v>120</v>
      </c>
      <c r="L10" s="50">
        <v>50.507</v>
      </c>
      <c r="M10" s="51">
        <v>3</v>
      </c>
      <c r="N10" s="49" t="s">
        <v>327</v>
      </c>
      <c r="O10" s="44">
        <f t="shared" si="0"/>
        <v>151.521</v>
      </c>
      <c r="P10" s="49"/>
    </row>
    <row r="11" customHeight="1" spans="1:17">
      <c r="A11" s="46">
        <v>6</v>
      </c>
      <c r="B11" s="47" t="s">
        <v>105</v>
      </c>
      <c r="C11" s="46"/>
      <c r="D11" s="48" t="s">
        <v>165</v>
      </c>
      <c r="E11" s="48" t="s">
        <v>165</v>
      </c>
      <c r="F11" s="49"/>
      <c r="G11" s="49"/>
      <c r="H11" s="49"/>
      <c r="I11" s="7">
        <v>1293</v>
      </c>
      <c r="J11" s="7">
        <v>765</v>
      </c>
      <c r="K11" s="7">
        <v>120</v>
      </c>
      <c r="L11" s="50">
        <v>47.47</v>
      </c>
      <c r="M11" s="51">
        <v>3</v>
      </c>
      <c r="N11" s="49" t="s">
        <v>327</v>
      </c>
      <c r="O11" s="44">
        <f t="shared" si="0"/>
        <v>142.41</v>
      </c>
      <c r="P11" s="49"/>
    </row>
    <row r="12" customHeight="1" spans="1:17">
      <c r="A12" s="46">
        <v>7</v>
      </c>
      <c r="B12" s="47" t="s">
        <v>105</v>
      </c>
      <c r="C12" s="46"/>
      <c r="D12" s="48" t="s">
        <v>167</v>
      </c>
      <c r="E12" s="48" t="s">
        <v>168</v>
      </c>
      <c r="F12" s="49"/>
      <c r="G12" s="49"/>
      <c r="H12" s="49"/>
      <c r="I12" s="7">
        <v>1291</v>
      </c>
      <c r="J12" s="7">
        <v>1190</v>
      </c>
      <c r="K12" s="7">
        <v>120</v>
      </c>
      <c r="L12" s="50">
        <v>53.521</v>
      </c>
      <c r="M12" s="51">
        <v>3</v>
      </c>
      <c r="N12" s="49" t="s">
        <v>327</v>
      </c>
      <c r="O12" s="44">
        <f t="shared" si="0"/>
        <v>160.563</v>
      </c>
      <c r="P12" s="49"/>
    </row>
    <row r="13" customHeight="1" spans="1:17">
      <c r="A13" s="46">
        <v>8</v>
      </c>
      <c r="B13" s="47" t="s">
        <v>105</v>
      </c>
      <c r="C13" s="46"/>
      <c r="D13" s="48" t="s">
        <v>169</v>
      </c>
      <c r="E13" s="48" t="s">
        <v>168</v>
      </c>
      <c r="F13" s="49"/>
      <c r="G13" s="49"/>
      <c r="H13" s="49"/>
      <c r="I13" s="7">
        <v>765</v>
      </c>
      <c r="J13" s="7">
        <v>1291</v>
      </c>
      <c r="K13" s="7">
        <v>120</v>
      </c>
      <c r="L13" s="50">
        <v>44.393</v>
      </c>
      <c r="M13" s="51">
        <v>2</v>
      </c>
      <c r="N13" s="49" t="s">
        <v>327</v>
      </c>
      <c r="O13" s="44">
        <f t="shared" si="0"/>
        <v>88.786</v>
      </c>
      <c r="P13" s="49"/>
    </row>
    <row r="14" customHeight="1" spans="1:17">
      <c r="A14" s="46">
        <v>9</v>
      </c>
      <c r="B14" s="47" t="s">
        <v>105</v>
      </c>
      <c r="C14" s="46"/>
      <c r="D14" s="48" t="s">
        <v>171</v>
      </c>
      <c r="E14" s="48" t="s">
        <v>171</v>
      </c>
      <c r="F14" s="49"/>
      <c r="G14" s="49"/>
      <c r="H14" s="49"/>
      <c r="I14" s="7">
        <v>120</v>
      </c>
      <c r="J14" s="7">
        <v>120</v>
      </c>
      <c r="K14" s="7">
        <v>1751.5</v>
      </c>
      <c r="L14" s="50">
        <v>41.151</v>
      </c>
      <c r="M14" s="51">
        <v>1</v>
      </c>
      <c r="N14" s="49" t="s">
        <v>327</v>
      </c>
      <c r="O14" s="44">
        <f t="shared" si="0"/>
        <v>41.151</v>
      </c>
      <c r="P14" s="49"/>
    </row>
    <row r="15" customHeight="1" spans="1:17">
      <c r="A15" s="46">
        <v>10</v>
      </c>
      <c r="B15" s="47" t="s">
        <v>105</v>
      </c>
      <c r="C15" s="46"/>
      <c r="D15" s="48" t="s">
        <v>176</v>
      </c>
      <c r="E15" s="48" t="s">
        <v>174</v>
      </c>
      <c r="F15" s="49"/>
      <c r="G15" s="49"/>
      <c r="H15" s="49"/>
      <c r="I15" s="7">
        <v>1024</v>
      </c>
      <c r="J15" s="7">
        <v>1610</v>
      </c>
      <c r="K15" s="7">
        <v>120</v>
      </c>
      <c r="L15" s="50">
        <v>85.996</v>
      </c>
      <c r="M15" s="51">
        <v>1</v>
      </c>
      <c r="N15" s="49" t="s">
        <v>327</v>
      </c>
      <c r="O15" s="44">
        <f t="shared" si="0"/>
        <v>85.996</v>
      </c>
      <c r="P15" s="49"/>
    </row>
    <row r="16" customHeight="1" spans="1:17">
      <c r="A16" s="46">
        <v>11</v>
      </c>
      <c r="B16" s="47" t="s">
        <v>105</v>
      </c>
      <c r="C16" s="46"/>
      <c r="D16" s="48" t="s">
        <v>183</v>
      </c>
      <c r="E16" s="48" t="s">
        <v>179</v>
      </c>
      <c r="F16" s="49"/>
      <c r="G16" s="49"/>
      <c r="H16" s="49"/>
      <c r="I16" s="7">
        <v>80</v>
      </c>
      <c r="J16" s="7">
        <v>80</v>
      </c>
      <c r="K16" s="7">
        <v>2751</v>
      </c>
      <c r="L16" s="50">
        <v>26.26</v>
      </c>
      <c r="M16" s="51">
        <v>9</v>
      </c>
      <c r="N16" s="49" t="s">
        <v>327</v>
      </c>
      <c r="O16" s="44">
        <f t="shared" si="0"/>
        <v>236.34</v>
      </c>
      <c r="P16" s="49"/>
    </row>
    <row r="17" customHeight="1" spans="1:18">
      <c r="A17" s="46">
        <v>12</v>
      </c>
      <c r="B17" s="47" t="s">
        <v>105</v>
      </c>
      <c r="C17" s="46"/>
      <c r="D17" s="48" t="s">
        <v>193</v>
      </c>
      <c r="E17" s="48" t="s">
        <v>191</v>
      </c>
      <c r="F17" s="49"/>
      <c r="G17" s="49"/>
      <c r="H17" s="49"/>
      <c r="I17" s="7">
        <v>83</v>
      </c>
      <c r="J17" s="7">
        <v>120</v>
      </c>
      <c r="K17" s="7">
        <v>2751</v>
      </c>
      <c r="L17" s="50">
        <v>30.795</v>
      </c>
      <c r="M17" s="51">
        <v>1</v>
      </c>
      <c r="N17" s="49" t="s">
        <v>327</v>
      </c>
      <c r="O17" s="44">
        <f t="shared" si="0"/>
        <v>30.795</v>
      </c>
      <c r="P17" s="49"/>
    </row>
    <row r="18" customHeight="1" spans="1:18">
      <c r="A18" s="46">
        <v>13</v>
      </c>
      <c r="B18" s="47" t="s">
        <v>105</v>
      </c>
      <c r="C18" s="46"/>
      <c r="D18" s="48" t="s">
        <v>224</v>
      </c>
      <c r="E18" s="48" t="s">
        <v>224</v>
      </c>
      <c r="F18" s="49"/>
      <c r="G18" s="49"/>
      <c r="H18" s="49"/>
      <c r="I18" s="7">
        <v>150</v>
      </c>
      <c r="J18" s="7">
        <v>100</v>
      </c>
      <c r="K18" s="7">
        <v>1670</v>
      </c>
      <c r="L18" s="50">
        <v>27.546</v>
      </c>
      <c r="M18" s="51">
        <v>1</v>
      </c>
      <c r="N18" s="49" t="s">
        <v>327</v>
      </c>
      <c r="O18" s="44">
        <f t="shared" si="0"/>
        <v>27.546</v>
      </c>
      <c r="P18" s="49"/>
    </row>
    <row r="19" customHeight="1" spans="1:18">
      <c r="A19" s="46">
        <v>14</v>
      </c>
      <c r="B19" s="47" t="s">
        <v>105</v>
      </c>
      <c r="C19" s="46"/>
      <c r="D19" s="48" t="s">
        <v>225</v>
      </c>
      <c r="E19" s="48" t="s">
        <v>225</v>
      </c>
      <c r="F19" s="49"/>
      <c r="G19" s="49"/>
      <c r="H19" s="49"/>
      <c r="I19" s="7">
        <v>150</v>
      </c>
      <c r="J19" s="7">
        <v>100</v>
      </c>
      <c r="K19" s="7">
        <v>1257</v>
      </c>
      <c r="L19" s="50">
        <v>19.514</v>
      </c>
      <c r="M19" s="51">
        <v>1</v>
      </c>
      <c r="N19" s="49" t="s">
        <v>327</v>
      </c>
      <c r="O19" s="44">
        <f t="shared" si="0"/>
        <v>19.514</v>
      </c>
      <c r="P19" s="49"/>
    </row>
    <row r="20" customHeight="1" spans="1:18">
      <c r="A20" s="46">
        <v>15</v>
      </c>
      <c r="B20" s="47" t="s">
        <v>105</v>
      </c>
      <c r="C20" s="46"/>
      <c r="D20" s="48" t="s">
        <v>227</v>
      </c>
      <c r="E20" s="48" t="s">
        <v>227</v>
      </c>
      <c r="F20" s="49"/>
      <c r="G20" s="49"/>
      <c r="H20" s="49"/>
      <c r="I20" s="7">
        <v>150</v>
      </c>
      <c r="J20" s="7">
        <v>100</v>
      </c>
      <c r="K20" s="7">
        <v>2955.5</v>
      </c>
      <c r="L20" s="50">
        <v>46.809</v>
      </c>
      <c r="M20" s="51">
        <v>1</v>
      </c>
      <c r="N20" s="49" t="s">
        <v>327</v>
      </c>
      <c r="O20" s="44">
        <f t="shared" si="0"/>
        <v>46.809</v>
      </c>
      <c r="P20" s="49"/>
    </row>
    <row r="21" customHeight="1" spans="1:18">
      <c r="A21" s="46">
        <v>16</v>
      </c>
      <c r="B21" s="47" t="s">
        <v>105</v>
      </c>
      <c r="C21" s="46"/>
      <c r="D21" s="48" t="s">
        <v>228</v>
      </c>
      <c r="E21" s="48" t="s">
        <v>228</v>
      </c>
      <c r="F21" s="49"/>
      <c r="G21" s="49"/>
      <c r="H21" s="49"/>
      <c r="I21" s="7">
        <v>150</v>
      </c>
      <c r="J21" s="7">
        <v>100</v>
      </c>
      <c r="K21" s="7">
        <v>2977</v>
      </c>
      <c r="L21" s="50">
        <v>47.485</v>
      </c>
      <c r="M21" s="51">
        <v>1</v>
      </c>
      <c r="N21" s="49" t="s">
        <v>327</v>
      </c>
      <c r="O21" s="44">
        <f t="shared" si="0"/>
        <v>47.485</v>
      </c>
      <c r="P21" s="49"/>
    </row>
    <row r="22" customHeight="1" spans="1:18">
      <c r="A22" s="46">
        <v>17</v>
      </c>
      <c r="B22" s="47" t="s">
        <v>105</v>
      </c>
      <c r="C22" s="46"/>
      <c r="D22" s="48" t="s">
        <v>230</v>
      </c>
      <c r="E22" s="48" t="s">
        <v>231</v>
      </c>
      <c r="F22" s="49"/>
      <c r="G22" s="49"/>
      <c r="H22" s="49"/>
      <c r="I22" s="7">
        <v>50</v>
      </c>
      <c r="J22" s="7">
        <v>50</v>
      </c>
      <c r="K22" s="7">
        <v>2125</v>
      </c>
      <c r="L22" s="50">
        <v>15.013</v>
      </c>
      <c r="M22" s="51">
        <v>5</v>
      </c>
      <c r="N22" s="49" t="s">
        <v>327</v>
      </c>
      <c r="O22" s="44">
        <f t="shared" si="0"/>
        <v>75.065</v>
      </c>
      <c r="P22" s="49"/>
      <c r="R22" s="52"/>
    </row>
    <row r="23" customHeight="1" spans="1:18">
      <c r="A23" s="46">
        <v>18</v>
      </c>
      <c r="B23" s="47" t="s">
        <v>105</v>
      </c>
      <c r="C23" s="46"/>
      <c r="D23" s="48" t="s">
        <v>232</v>
      </c>
      <c r="E23" s="48" t="s">
        <v>231</v>
      </c>
      <c r="F23" s="49"/>
      <c r="G23" s="49"/>
      <c r="H23" s="49"/>
      <c r="I23" s="7">
        <v>50</v>
      </c>
      <c r="J23" s="7">
        <v>50</v>
      </c>
      <c r="K23" s="7">
        <v>2430</v>
      </c>
      <c r="L23" s="50">
        <v>17.168</v>
      </c>
      <c r="M23" s="51">
        <v>3</v>
      </c>
      <c r="N23" s="49" t="s">
        <v>327</v>
      </c>
      <c r="O23" s="44">
        <f t="shared" si="0"/>
        <v>51.504</v>
      </c>
      <c r="P23" s="49"/>
      <c r="Q23" s="38" t="s">
        <v>330</v>
      </c>
      <c r="R23" s="52"/>
    </row>
    <row r="24" customHeight="1" spans="1:18">
      <c r="A24" s="46">
        <v>19</v>
      </c>
      <c r="B24" s="47" t="s">
        <v>105</v>
      </c>
      <c r="C24" s="46"/>
      <c r="D24" s="48" t="s">
        <v>251</v>
      </c>
      <c r="E24" s="48" t="s">
        <v>251</v>
      </c>
      <c r="F24" s="49"/>
      <c r="G24" s="49"/>
      <c r="H24" s="49"/>
      <c r="I24" s="7">
        <v>50</v>
      </c>
      <c r="J24" s="7">
        <v>50</v>
      </c>
      <c r="K24" s="7">
        <v>1447</v>
      </c>
      <c r="L24" s="50">
        <v>10.223</v>
      </c>
      <c r="M24" s="51">
        <v>1</v>
      </c>
      <c r="N24" s="49" t="s">
        <v>327</v>
      </c>
      <c r="O24" s="44">
        <f t="shared" si="0"/>
        <v>10.223</v>
      </c>
      <c r="P24" s="49"/>
      <c r="R24" s="52"/>
    </row>
    <row r="25" customHeight="1" spans="1:18">
      <c r="A25" s="46"/>
      <c r="B25" s="42"/>
      <c r="C25" s="42"/>
      <c r="D25" s="45" t="s">
        <v>350</v>
      </c>
      <c r="E25" s="45"/>
      <c r="F25" s="42"/>
      <c r="G25" s="42"/>
      <c r="H25" s="42"/>
      <c r="I25" s="45" t="s">
        <v>351</v>
      </c>
      <c r="J25" s="42">
        <v>1100</v>
      </c>
      <c r="K25" s="42">
        <v>1750</v>
      </c>
      <c r="L25" s="42"/>
      <c r="M25" s="51">
        <v>1</v>
      </c>
      <c r="N25" s="45"/>
      <c r="O25" s="53">
        <v>143</v>
      </c>
      <c r="P25" s="45"/>
      <c r="Q25" s="38">
        <f>+I25*J25*K25/1000000000</f>
        <v>3.85</v>
      </c>
      <c r="R25" s="52" t="s">
        <v>331</v>
      </c>
    </row>
    <row r="26" customHeight="1" spans="1:18">
      <c r="A26" s="54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49">
        <f>SUM(M6:M24)</f>
        <v>42</v>
      </c>
      <c r="N26" s="55"/>
      <c r="O26" s="56">
        <f>SUM(O6:O25)</f>
        <v>1628.167</v>
      </c>
      <c r="P26" s="57"/>
    </row>
    <row r="28" customHeight="1" spans="1:18">
      <c r="A28" s="39" t="s">
        <v>312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40"/>
      <c r="P28" s="39"/>
      <c r="Q28" s="38" t="s">
        <v>352</v>
      </c>
    </row>
    <row r="29" customHeight="1" spans="1:18">
      <c r="A29" s="41" t="s">
        <v>353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</row>
    <row r="30" customHeight="1" spans="1:18">
      <c r="A30" s="42" t="s">
        <v>11</v>
      </c>
      <c r="B30" s="42" t="s">
        <v>57</v>
      </c>
      <c r="C30" s="42" t="s">
        <v>315</v>
      </c>
      <c r="D30" s="42" t="s">
        <v>316</v>
      </c>
      <c r="E30" s="42" t="s">
        <v>70</v>
      </c>
      <c r="F30" s="42" t="s">
        <v>317</v>
      </c>
      <c r="G30" s="42" t="s">
        <v>318</v>
      </c>
      <c r="H30" s="42" t="s">
        <v>319</v>
      </c>
      <c r="I30" s="42" t="s">
        <v>320</v>
      </c>
      <c r="J30" s="42" t="s">
        <v>321</v>
      </c>
      <c r="K30" s="42" t="s">
        <v>322</v>
      </c>
      <c r="L30" s="43" t="s">
        <v>323</v>
      </c>
      <c r="M30" s="42" t="s">
        <v>17</v>
      </c>
      <c r="N30" s="42" t="s">
        <v>324</v>
      </c>
      <c r="O30" s="44" t="s">
        <v>325</v>
      </c>
      <c r="P30" s="45" t="s">
        <v>326</v>
      </c>
    </row>
    <row r="31" customHeight="1" spans="1:18">
      <c r="A31" s="46">
        <v>1</v>
      </c>
      <c r="B31" s="47" t="s">
        <v>105</v>
      </c>
      <c r="C31" s="46"/>
      <c r="D31" s="48" t="s">
        <v>112</v>
      </c>
      <c r="E31" s="48" t="s">
        <v>112</v>
      </c>
      <c r="F31" s="49"/>
      <c r="G31" s="49"/>
      <c r="H31" s="49"/>
      <c r="I31" s="7">
        <v>150</v>
      </c>
      <c r="J31" s="7">
        <v>150</v>
      </c>
      <c r="K31" s="7">
        <v>3801</v>
      </c>
      <c r="L31" s="50">
        <v>69.701</v>
      </c>
      <c r="M31" s="58">
        <v>1</v>
      </c>
      <c r="N31" s="49" t="s">
        <v>327</v>
      </c>
      <c r="O31" s="44">
        <f t="shared" ref="O31:O75" si="1">+M31*L31</f>
        <v>69.701</v>
      </c>
      <c r="P31" s="49"/>
    </row>
    <row r="32" customHeight="1" spans="1:18">
      <c r="A32" s="46">
        <v>2</v>
      </c>
      <c r="B32" s="47" t="s">
        <v>105</v>
      </c>
      <c r="C32" s="46"/>
      <c r="D32" s="48" t="s">
        <v>127</v>
      </c>
      <c r="E32" s="48" t="s">
        <v>124</v>
      </c>
      <c r="F32" s="49"/>
      <c r="G32" s="49"/>
      <c r="H32" s="49"/>
      <c r="I32" s="7">
        <v>250</v>
      </c>
      <c r="J32" s="7">
        <v>250</v>
      </c>
      <c r="K32" s="7">
        <v>4076</v>
      </c>
      <c r="L32" s="50">
        <v>247.782</v>
      </c>
      <c r="M32" s="58">
        <v>6</v>
      </c>
      <c r="N32" s="49" t="s">
        <v>327</v>
      </c>
      <c r="O32" s="44">
        <f t="shared" si="1"/>
        <v>1486.692</v>
      </c>
      <c r="P32" s="49"/>
    </row>
    <row r="33" customHeight="1" spans="1:16">
      <c r="A33" s="46">
        <v>3</v>
      </c>
      <c r="B33" s="47" t="s">
        <v>105</v>
      </c>
      <c r="C33" s="46"/>
      <c r="D33" s="48" t="s">
        <v>134</v>
      </c>
      <c r="E33" s="48" t="s">
        <v>134</v>
      </c>
      <c r="F33" s="49"/>
      <c r="G33" s="49"/>
      <c r="H33" s="49"/>
      <c r="I33" s="7">
        <v>250</v>
      </c>
      <c r="J33" s="7">
        <v>300</v>
      </c>
      <c r="K33" s="7">
        <v>4721</v>
      </c>
      <c r="L33" s="50">
        <v>287.745</v>
      </c>
      <c r="M33" s="58">
        <v>4</v>
      </c>
      <c r="N33" s="49" t="s">
        <v>327</v>
      </c>
      <c r="O33" s="44">
        <f t="shared" si="1"/>
        <v>1150.98</v>
      </c>
      <c r="P33" s="49"/>
    </row>
    <row r="34" customHeight="1" spans="1:16">
      <c r="A34" s="46">
        <v>4</v>
      </c>
      <c r="B34" s="47" t="s">
        <v>105</v>
      </c>
      <c r="C34" s="46"/>
      <c r="D34" s="48" t="s">
        <v>151</v>
      </c>
      <c r="E34" s="48" t="s">
        <v>152</v>
      </c>
      <c r="F34" s="49"/>
      <c r="G34" s="49"/>
      <c r="H34" s="49"/>
      <c r="I34" s="7">
        <v>120</v>
      </c>
      <c r="J34" s="7">
        <v>260</v>
      </c>
      <c r="K34" s="7">
        <v>4900</v>
      </c>
      <c r="L34" s="50">
        <v>111.307</v>
      </c>
      <c r="M34" s="58">
        <v>1</v>
      </c>
      <c r="N34" s="49" t="s">
        <v>327</v>
      </c>
      <c r="O34" s="44">
        <f t="shared" si="1"/>
        <v>111.307</v>
      </c>
      <c r="P34" s="49"/>
    </row>
    <row r="35" customHeight="1" spans="1:16">
      <c r="A35" s="46">
        <v>5</v>
      </c>
      <c r="B35" s="47" t="s">
        <v>105</v>
      </c>
      <c r="C35" s="46"/>
      <c r="D35" s="48" t="s">
        <v>153</v>
      </c>
      <c r="E35" s="48" t="s">
        <v>152</v>
      </c>
      <c r="F35" s="49"/>
      <c r="G35" s="49"/>
      <c r="H35" s="49"/>
      <c r="I35" s="7">
        <v>120</v>
      </c>
      <c r="J35" s="7">
        <v>260</v>
      </c>
      <c r="K35" s="7">
        <v>4255</v>
      </c>
      <c r="L35" s="50">
        <v>97.454</v>
      </c>
      <c r="M35" s="58">
        <v>1</v>
      </c>
      <c r="N35" s="49" t="s">
        <v>327</v>
      </c>
      <c r="O35" s="44">
        <f t="shared" si="1"/>
        <v>97.454</v>
      </c>
      <c r="P35" s="49"/>
    </row>
    <row r="36" customHeight="1" spans="1:16">
      <c r="A36" s="46">
        <v>6</v>
      </c>
      <c r="B36" s="47" t="s">
        <v>105</v>
      </c>
      <c r="C36" s="46"/>
      <c r="D36" s="48" t="s">
        <v>154</v>
      </c>
      <c r="E36" s="48" t="s">
        <v>152</v>
      </c>
      <c r="F36" s="49"/>
      <c r="G36" s="49"/>
      <c r="H36" s="49"/>
      <c r="I36" s="7">
        <v>120</v>
      </c>
      <c r="J36" s="7">
        <v>260</v>
      </c>
      <c r="K36" s="7">
        <v>4125</v>
      </c>
      <c r="L36" s="50">
        <v>94.662</v>
      </c>
      <c r="M36" s="58">
        <v>3</v>
      </c>
      <c r="N36" s="49" t="s">
        <v>327</v>
      </c>
      <c r="O36" s="44">
        <f t="shared" si="1"/>
        <v>283.986</v>
      </c>
      <c r="P36" s="49"/>
    </row>
    <row r="37" customHeight="1" spans="1:16">
      <c r="A37" s="46">
        <v>7</v>
      </c>
      <c r="B37" s="47" t="s">
        <v>105</v>
      </c>
      <c r="C37" s="46"/>
      <c r="D37" s="48" t="s">
        <v>155</v>
      </c>
      <c r="E37" s="48" t="s">
        <v>152</v>
      </c>
      <c r="F37" s="49"/>
      <c r="G37" s="49"/>
      <c r="H37" s="49"/>
      <c r="I37" s="7">
        <v>120</v>
      </c>
      <c r="J37" s="7">
        <v>260</v>
      </c>
      <c r="K37" s="7">
        <v>4125</v>
      </c>
      <c r="L37" s="50">
        <v>94.662</v>
      </c>
      <c r="M37" s="58">
        <v>3</v>
      </c>
      <c r="N37" s="49" t="s">
        <v>327</v>
      </c>
      <c r="O37" s="44">
        <f t="shared" si="1"/>
        <v>283.986</v>
      </c>
      <c r="P37" s="49"/>
    </row>
    <row r="38" customHeight="1" spans="1:16">
      <c r="A38" s="46">
        <v>8</v>
      </c>
      <c r="B38" s="47" t="s">
        <v>105</v>
      </c>
      <c r="C38" s="46"/>
      <c r="D38" s="48" t="s">
        <v>160</v>
      </c>
      <c r="E38" s="48" t="s">
        <v>160</v>
      </c>
      <c r="F38" s="49"/>
      <c r="G38" s="49"/>
      <c r="H38" s="49"/>
      <c r="I38" s="7">
        <v>120</v>
      </c>
      <c r="J38" s="7">
        <v>260</v>
      </c>
      <c r="K38" s="7">
        <v>4770</v>
      </c>
      <c r="L38" s="50">
        <v>109.269</v>
      </c>
      <c r="M38" s="58">
        <v>3</v>
      </c>
      <c r="N38" s="49" t="s">
        <v>327</v>
      </c>
      <c r="O38" s="44">
        <f t="shared" si="1"/>
        <v>327.807</v>
      </c>
      <c r="P38" s="49"/>
    </row>
    <row r="39" customHeight="1" spans="1:16">
      <c r="A39" s="46">
        <v>9</v>
      </c>
      <c r="B39" s="47" t="s">
        <v>105</v>
      </c>
      <c r="C39" s="46"/>
      <c r="D39" s="48" t="s">
        <v>170</v>
      </c>
      <c r="E39" s="48" t="s">
        <v>170</v>
      </c>
      <c r="F39" s="49"/>
      <c r="G39" s="49"/>
      <c r="H39" s="49"/>
      <c r="I39" s="7">
        <v>4770</v>
      </c>
      <c r="J39" s="7">
        <v>279</v>
      </c>
      <c r="K39" s="7">
        <v>293</v>
      </c>
      <c r="L39" s="50">
        <v>147.72</v>
      </c>
      <c r="M39" s="58">
        <v>1</v>
      </c>
      <c r="N39" s="49" t="s">
        <v>327</v>
      </c>
      <c r="O39" s="44">
        <f t="shared" si="1"/>
        <v>147.72</v>
      </c>
      <c r="P39" s="49"/>
    </row>
    <row r="40" customHeight="1" spans="1:16">
      <c r="A40" s="46">
        <v>10</v>
      </c>
      <c r="B40" s="47" t="s">
        <v>105</v>
      </c>
      <c r="C40" s="46"/>
      <c r="D40" s="48" t="s">
        <v>192</v>
      </c>
      <c r="E40" s="48" t="s">
        <v>191</v>
      </c>
      <c r="F40" s="49"/>
      <c r="G40" s="49"/>
      <c r="H40" s="49"/>
      <c r="I40" s="7">
        <v>83</v>
      </c>
      <c r="J40" s="7">
        <v>120</v>
      </c>
      <c r="K40" s="7">
        <v>5015</v>
      </c>
      <c r="L40" s="50">
        <v>56.138</v>
      </c>
      <c r="M40" s="58">
        <v>1</v>
      </c>
      <c r="N40" s="49" t="s">
        <v>327</v>
      </c>
      <c r="O40" s="44">
        <f t="shared" si="1"/>
        <v>56.138</v>
      </c>
      <c r="P40" s="49"/>
    </row>
    <row r="41" customHeight="1" spans="1:16">
      <c r="A41" s="46">
        <v>11</v>
      </c>
      <c r="B41" s="47" t="s">
        <v>105</v>
      </c>
      <c r="C41" s="46"/>
      <c r="D41" s="48" t="s">
        <v>195</v>
      </c>
      <c r="E41" s="48" t="s">
        <v>195</v>
      </c>
      <c r="F41" s="49"/>
      <c r="G41" s="49"/>
      <c r="H41" s="49"/>
      <c r="I41" s="7">
        <v>230</v>
      </c>
      <c r="J41" s="7">
        <v>91</v>
      </c>
      <c r="K41" s="7">
        <v>4455</v>
      </c>
      <c r="L41" s="50">
        <v>65.403</v>
      </c>
      <c r="M41" s="58">
        <v>1</v>
      </c>
      <c r="N41" s="49" t="s">
        <v>327</v>
      </c>
      <c r="O41" s="44">
        <f t="shared" si="1"/>
        <v>65.403</v>
      </c>
      <c r="P41" s="49"/>
    </row>
    <row r="42" customHeight="1" spans="1:16">
      <c r="A42" s="46">
        <v>12</v>
      </c>
      <c r="B42" s="47" t="s">
        <v>105</v>
      </c>
      <c r="C42" s="46"/>
      <c r="D42" s="48" t="s">
        <v>197</v>
      </c>
      <c r="E42" s="48" t="s">
        <v>197</v>
      </c>
      <c r="F42" s="49"/>
      <c r="G42" s="49"/>
      <c r="H42" s="49"/>
      <c r="I42" s="7">
        <v>120</v>
      </c>
      <c r="J42" s="7">
        <v>60</v>
      </c>
      <c r="K42" s="7">
        <v>5684</v>
      </c>
      <c r="L42" s="50">
        <v>62.521</v>
      </c>
      <c r="M42" s="58">
        <v>2</v>
      </c>
      <c r="N42" s="49" t="s">
        <v>327</v>
      </c>
      <c r="O42" s="44">
        <f t="shared" si="1"/>
        <v>125.042</v>
      </c>
      <c r="P42" s="49"/>
    </row>
    <row r="43" customHeight="1" spans="1:16">
      <c r="A43" s="46">
        <v>13</v>
      </c>
      <c r="B43" s="47" t="s">
        <v>105</v>
      </c>
      <c r="C43" s="46"/>
      <c r="D43" s="48" t="s">
        <v>198</v>
      </c>
      <c r="E43" s="48" t="s">
        <v>198</v>
      </c>
      <c r="F43" s="49"/>
      <c r="G43" s="49"/>
      <c r="H43" s="49"/>
      <c r="I43" s="7">
        <v>120</v>
      </c>
      <c r="J43" s="7">
        <v>60</v>
      </c>
      <c r="K43" s="7">
        <v>5431</v>
      </c>
      <c r="L43" s="50">
        <v>58.663</v>
      </c>
      <c r="M43" s="58">
        <v>2</v>
      </c>
      <c r="N43" s="49" t="s">
        <v>327</v>
      </c>
      <c r="O43" s="44">
        <f t="shared" si="1"/>
        <v>117.326</v>
      </c>
      <c r="P43" s="49"/>
    </row>
    <row r="44" customHeight="1" spans="1:16">
      <c r="A44" s="46">
        <v>14</v>
      </c>
      <c r="B44" s="47" t="s">
        <v>105</v>
      </c>
      <c r="C44" s="46"/>
      <c r="D44" s="48" t="s">
        <v>199</v>
      </c>
      <c r="E44" s="48" t="s">
        <v>199</v>
      </c>
      <c r="F44" s="49"/>
      <c r="G44" s="49"/>
      <c r="H44" s="49"/>
      <c r="I44" s="7">
        <v>152</v>
      </c>
      <c r="J44" s="7">
        <v>60</v>
      </c>
      <c r="K44" s="7">
        <v>5687</v>
      </c>
      <c r="L44" s="50">
        <v>62.01</v>
      </c>
      <c r="M44" s="58">
        <v>3</v>
      </c>
      <c r="N44" s="49" t="s">
        <v>327</v>
      </c>
      <c r="O44" s="44">
        <f t="shared" si="1"/>
        <v>186.03</v>
      </c>
      <c r="P44" s="49"/>
    </row>
    <row r="45" customHeight="1" spans="1:16">
      <c r="A45" s="46">
        <v>15</v>
      </c>
      <c r="B45" s="47" t="s">
        <v>105</v>
      </c>
      <c r="C45" s="46"/>
      <c r="D45" s="48" t="s">
        <v>200</v>
      </c>
      <c r="E45" s="48" t="s">
        <v>200</v>
      </c>
      <c r="F45" s="49"/>
      <c r="G45" s="49"/>
      <c r="H45" s="49"/>
      <c r="I45" s="7">
        <v>152</v>
      </c>
      <c r="J45" s="7">
        <v>60</v>
      </c>
      <c r="K45" s="7">
        <v>5574</v>
      </c>
      <c r="L45" s="50">
        <v>60.79</v>
      </c>
      <c r="M45" s="58">
        <v>1</v>
      </c>
      <c r="N45" s="49" t="s">
        <v>327</v>
      </c>
      <c r="O45" s="44">
        <f t="shared" si="1"/>
        <v>60.79</v>
      </c>
      <c r="P45" s="49"/>
    </row>
    <row r="46" customHeight="1" spans="1:16">
      <c r="A46" s="46">
        <v>16</v>
      </c>
      <c r="B46" s="47" t="s">
        <v>105</v>
      </c>
      <c r="C46" s="46"/>
      <c r="D46" s="48" t="s">
        <v>206</v>
      </c>
      <c r="E46" s="48" t="s">
        <v>206</v>
      </c>
      <c r="F46" s="49"/>
      <c r="G46" s="49"/>
      <c r="H46" s="49"/>
      <c r="I46" s="7">
        <v>100</v>
      </c>
      <c r="J46" s="7">
        <v>100</v>
      </c>
      <c r="K46" s="7">
        <v>5678.5</v>
      </c>
      <c r="L46" s="50">
        <v>69.79</v>
      </c>
      <c r="M46" s="58">
        <v>1</v>
      </c>
      <c r="N46" s="49" t="s">
        <v>327</v>
      </c>
      <c r="O46" s="44">
        <f t="shared" si="1"/>
        <v>69.79</v>
      </c>
      <c r="P46" s="49"/>
    </row>
    <row r="47" customHeight="1" spans="1:16">
      <c r="A47" s="46">
        <v>17</v>
      </c>
      <c r="B47" s="47" t="s">
        <v>105</v>
      </c>
      <c r="C47" s="46"/>
      <c r="D47" s="48" t="s">
        <v>212</v>
      </c>
      <c r="E47" s="48" t="s">
        <v>212</v>
      </c>
      <c r="F47" s="49"/>
      <c r="G47" s="49"/>
      <c r="H47" s="49"/>
      <c r="I47" s="7">
        <v>140</v>
      </c>
      <c r="J47" s="7">
        <v>140</v>
      </c>
      <c r="K47" s="7">
        <v>6606</v>
      </c>
      <c r="L47" s="50">
        <v>140.014</v>
      </c>
      <c r="M47" s="58">
        <v>2</v>
      </c>
      <c r="N47" s="49" t="s">
        <v>327</v>
      </c>
      <c r="O47" s="44">
        <f t="shared" si="1"/>
        <v>280.028</v>
      </c>
      <c r="P47" s="49"/>
    </row>
    <row r="48" customHeight="1" spans="1:16">
      <c r="A48" s="46">
        <v>18</v>
      </c>
      <c r="B48" s="47" t="s">
        <v>105</v>
      </c>
      <c r="C48" s="46"/>
      <c r="D48" s="48" t="s">
        <v>213</v>
      </c>
      <c r="E48" s="48" t="s">
        <v>214</v>
      </c>
      <c r="F48" s="49"/>
      <c r="G48" s="49"/>
      <c r="H48" s="49"/>
      <c r="I48" s="5">
        <v>400</v>
      </c>
      <c r="J48" s="5">
        <v>400</v>
      </c>
      <c r="K48" s="5">
        <v>3185</v>
      </c>
      <c r="L48" s="50">
        <v>60.477</v>
      </c>
      <c r="M48" s="58">
        <v>2</v>
      </c>
      <c r="N48" s="49" t="s">
        <v>327</v>
      </c>
      <c r="O48" s="44">
        <f t="shared" si="1"/>
        <v>120.954</v>
      </c>
      <c r="P48" s="49"/>
    </row>
    <row r="49" customHeight="1" spans="1:16">
      <c r="A49" s="46">
        <v>19</v>
      </c>
      <c r="B49" s="47" t="s">
        <v>105</v>
      </c>
      <c r="C49" s="46"/>
      <c r="D49" s="48" t="s">
        <v>216</v>
      </c>
      <c r="E49" s="48" t="s">
        <v>214</v>
      </c>
      <c r="F49" s="49"/>
      <c r="G49" s="49"/>
      <c r="H49" s="49"/>
      <c r="I49" s="5">
        <v>400</v>
      </c>
      <c r="J49" s="5">
        <v>400</v>
      </c>
      <c r="K49" s="5">
        <v>3190</v>
      </c>
      <c r="L49" s="50">
        <v>60.566</v>
      </c>
      <c r="M49" s="58">
        <v>1</v>
      </c>
      <c r="N49" s="49" t="s">
        <v>327</v>
      </c>
      <c r="O49" s="44">
        <f t="shared" si="1"/>
        <v>60.566</v>
      </c>
      <c r="P49" s="49"/>
    </row>
    <row r="50" customHeight="1" spans="1:16">
      <c r="A50" s="46">
        <v>20</v>
      </c>
      <c r="B50" s="47" t="s">
        <v>105</v>
      </c>
      <c r="C50" s="46"/>
      <c r="D50" s="48" t="s">
        <v>217</v>
      </c>
      <c r="E50" s="48" t="s">
        <v>214</v>
      </c>
      <c r="F50" s="49"/>
      <c r="G50" s="49"/>
      <c r="H50" s="49"/>
      <c r="I50" s="5">
        <v>400</v>
      </c>
      <c r="J50" s="5">
        <v>400</v>
      </c>
      <c r="K50" s="5">
        <v>3213</v>
      </c>
      <c r="L50" s="50">
        <v>60.977</v>
      </c>
      <c r="M50" s="58">
        <v>1</v>
      </c>
      <c r="N50" s="49" t="s">
        <v>327</v>
      </c>
      <c r="O50" s="44">
        <f t="shared" si="1"/>
        <v>60.977</v>
      </c>
      <c r="P50" s="49"/>
    </row>
    <row r="51" customHeight="1" spans="1:16">
      <c r="A51" s="46">
        <v>21</v>
      </c>
      <c r="B51" s="47" t="s">
        <v>105</v>
      </c>
      <c r="C51" s="46"/>
      <c r="D51" s="48" t="s">
        <v>218</v>
      </c>
      <c r="E51" s="48" t="s">
        <v>214</v>
      </c>
      <c r="F51" s="49"/>
      <c r="G51" s="49"/>
      <c r="H51" s="49"/>
      <c r="I51" s="5">
        <v>400</v>
      </c>
      <c r="J51" s="5">
        <v>400</v>
      </c>
      <c r="K51" s="5">
        <v>3239</v>
      </c>
      <c r="L51" s="50">
        <v>61.442</v>
      </c>
      <c r="M51" s="58">
        <v>2</v>
      </c>
      <c r="N51" s="49" t="s">
        <v>327</v>
      </c>
      <c r="O51" s="44">
        <f t="shared" si="1"/>
        <v>122.884</v>
      </c>
      <c r="P51" s="49"/>
    </row>
    <row r="52" customHeight="1" spans="1:16">
      <c r="A52" s="46">
        <v>22</v>
      </c>
      <c r="B52" s="47" t="s">
        <v>105</v>
      </c>
      <c r="C52" s="46"/>
      <c r="D52" s="48" t="s">
        <v>222</v>
      </c>
      <c r="E52" s="48" t="s">
        <v>222</v>
      </c>
      <c r="F52" s="49"/>
      <c r="G52" s="49"/>
      <c r="H52" s="49"/>
      <c r="I52" s="7">
        <v>150</v>
      </c>
      <c r="J52" s="7">
        <v>100</v>
      </c>
      <c r="K52" s="7">
        <v>5190</v>
      </c>
      <c r="L52" s="50">
        <v>79.243</v>
      </c>
      <c r="M52" s="58">
        <v>1</v>
      </c>
      <c r="N52" s="49" t="s">
        <v>327</v>
      </c>
      <c r="O52" s="44">
        <f t="shared" si="1"/>
        <v>79.243</v>
      </c>
      <c r="P52" s="49"/>
    </row>
    <row r="53" customHeight="1" spans="1:16">
      <c r="A53" s="46">
        <v>23</v>
      </c>
      <c r="B53" s="47" t="s">
        <v>105</v>
      </c>
      <c r="C53" s="46"/>
      <c r="D53" s="48" t="s">
        <v>229</v>
      </c>
      <c r="E53" s="48" t="s">
        <v>229</v>
      </c>
      <c r="F53" s="49"/>
      <c r="G53" s="49"/>
      <c r="H53" s="49"/>
      <c r="I53" s="7">
        <v>150</v>
      </c>
      <c r="J53" s="7">
        <v>200</v>
      </c>
      <c r="K53" s="7">
        <v>5345</v>
      </c>
      <c r="L53" s="50">
        <v>81.965</v>
      </c>
      <c r="M53" s="58">
        <v>1</v>
      </c>
      <c r="N53" s="49" t="s">
        <v>327</v>
      </c>
      <c r="O53" s="44">
        <f t="shared" si="1"/>
        <v>81.965</v>
      </c>
      <c r="P53" s="49"/>
    </row>
    <row r="54" customHeight="1" spans="1:16">
      <c r="A54" s="46">
        <v>24</v>
      </c>
      <c r="B54" s="47" t="s">
        <v>105</v>
      </c>
      <c r="C54" s="46"/>
      <c r="D54" s="48" t="s">
        <v>232</v>
      </c>
      <c r="E54" s="48" t="s">
        <v>231</v>
      </c>
      <c r="F54" s="49"/>
      <c r="G54" s="49"/>
      <c r="H54" s="49"/>
      <c r="I54" s="7">
        <v>50</v>
      </c>
      <c r="J54" s="7">
        <v>50</v>
      </c>
      <c r="K54" s="7">
        <v>2430</v>
      </c>
      <c r="L54" s="50">
        <v>17.168</v>
      </c>
      <c r="M54" s="58">
        <v>2</v>
      </c>
      <c r="N54" s="49" t="s">
        <v>327</v>
      </c>
      <c r="O54" s="44">
        <f t="shared" si="1"/>
        <v>34.336</v>
      </c>
      <c r="P54" s="49"/>
    </row>
    <row r="55" customHeight="1" spans="1:16">
      <c r="A55" s="46">
        <v>25</v>
      </c>
      <c r="B55" s="47" t="s">
        <v>105</v>
      </c>
      <c r="C55" s="46"/>
      <c r="D55" s="48" t="s">
        <v>242</v>
      </c>
      <c r="E55" s="48" t="s">
        <v>242</v>
      </c>
      <c r="F55" s="49"/>
      <c r="G55" s="49"/>
      <c r="H55" s="49"/>
      <c r="I55" s="7">
        <v>50</v>
      </c>
      <c r="J55" s="7">
        <v>50</v>
      </c>
      <c r="K55" s="7">
        <v>3347</v>
      </c>
      <c r="L55" s="50">
        <v>23.647</v>
      </c>
      <c r="M55" s="58">
        <v>1</v>
      </c>
      <c r="N55" s="49" t="s">
        <v>327</v>
      </c>
      <c r="O55" s="44">
        <f t="shared" si="1"/>
        <v>23.647</v>
      </c>
      <c r="P55" s="49"/>
    </row>
    <row r="56" customHeight="1" spans="1:16">
      <c r="A56" s="46">
        <v>26</v>
      </c>
      <c r="B56" s="47" t="s">
        <v>105</v>
      </c>
      <c r="C56" s="46"/>
      <c r="D56" s="48" t="s">
        <v>243</v>
      </c>
      <c r="E56" s="48" t="s">
        <v>243</v>
      </c>
      <c r="F56" s="49"/>
      <c r="G56" s="49"/>
      <c r="H56" s="49"/>
      <c r="I56" s="7">
        <v>50</v>
      </c>
      <c r="J56" s="7">
        <v>50</v>
      </c>
      <c r="K56" s="7">
        <v>2618</v>
      </c>
      <c r="L56" s="50">
        <v>18.496</v>
      </c>
      <c r="M56" s="58">
        <v>1</v>
      </c>
      <c r="N56" s="49" t="s">
        <v>327</v>
      </c>
      <c r="O56" s="44">
        <f t="shared" si="1"/>
        <v>18.496</v>
      </c>
      <c r="P56" s="49"/>
    </row>
    <row r="57" customHeight="1" spans="1:16">
      <c r="A57" s="46">
        <v>27</v>
      </c>
      <c r="B57" s="47" t="s">
        <v>105</v>
      </c>
      <c r="C57" s="46"/>
      <c r="D57" s="48" t="s">
        <v>244</v>
      </c>
      <c r="E57" s="48" t="s">
        <v>244</v>
      </c>
      <c r="F57" s="49"/>
      <c r="G57" s="49"/>
      <c r="H57" s="49"/>
      <c r="I57" s="7">
        <v>50</v>
      </c>
      <c r="J57" s="7">
        <v>50</v>
      </c>
      <c r="K57" s="7">
        <v>2785</v>
      </c>
      <c r="L57" s="50">
        <v>19.676</v>
      </c>
      <c r="M57" s="58">
        <v>1</v>
      </c>
      <c r="N57" s="49" t="s">
        <v>327</v>
      </c>
      <c r="O57" s="44">
        <f t="shared" si="1"/>
        <v>19.676</v>
      </c>
      <c r="P57" s="49"/>
    </row>
    <row r="58" customHeight="1" spans="1:16">
      <c r="A58" s="46">
        <v>28</v>
      </c>
      <c r="B58" s="47" t="s">
        <v>105</v>
      </c>
      <c r="C58" s="46"/>
      <c r="D58" s="48" t="s">
        <v>247</v>
      </c>
      <c r="E58" s="48" t="s">
        <v>247</v>
      </c>
      <c r="F58" s="49"/>
      <c r="G58" s="49"/>
      <c r="H58" s="49"/>
      <c r="I58" s="7">
        <v>50</v>
      </c>
      <c r="J58" s="7">
        <v>50</v>
      </c>
      <c r="K58" s="7">
        <v>2290</v>
      </c>
      <c r="L58" s="50">
        <v>16.179</v>
      </c>
      <c r="M58" s="58">
        <v>1</v>
      </c>
      <c r="N58" s="49" t="s">
        <v>327</v>
      </c>
      <c r="O58" s="44">
        <f t="shared" si="1"/>
        <v>16.179</v>
      </c>
      <c r="P58" s="49"/>
    </row>
    <row r="59" customHeight="1" spans="1:16">
      <c r="A59" s="46">
        <v>29</v>
      </c>
      <c r="B59" s="47" t="s">
        <v>254</v>
      </c>
      <c r="C59" s="46"/>
      <c r="D59" s="48" t="s">
        <v>258</v>
      </c>
      <c r="E59" s="48" t="s">
        <v>259</v>
      </c>
      <c r="F59" s="49"/>
      <c r="G59" s="49"/>
      <c r="H59" s="49"/>
      <c r="I59" s="7">
        <v>50</v>
      </c>
      <c r="J59" s="7">
        <v>50</v>
      </c>
      <c r="K59" s="7">
        <v>2102</v>
      </c>
      <c r="L59" s="50">
        <v>6.43</v>
      </c>
      <c r="M59" s="58">
        <v>7</v>
      </c>
      <c r="N59" s="49" t="s">
        <v>327</v>
      </c>
      <c r="O59" s="44">
        <f t="shared" si="1"/>
        <v>45.01</v>
      </c>
      <c r="P59" s="49"/>
    </row>
    <row r="60" customHeight="1" spans="1:16">
      <c r="A60" s="46">
        <v>30</v>
      </c>
      <c r="B60" s="47" t="s">
        <v>254</v>
      </c>
      <c r="C60" s="46"/>
      <c r="D60" s="48" t="s">
        <v>260</v>
      </c>
      <c r="E60" s="48" t="s">
        <v>259</v>
      </c>
      <c r="F60" s="49"/>
      <c r="G60" s="49"/>
      <c r="H60" s="49"/>
      <c r="I60" s="7">
        <v>50</v>
      </c>
      <c r="J60" s="7">
        <v>50</v>
      </c>
      <c r="K60" s="7">
        <v>1842</v>
      </c>
      <c r="L60" s="50">
        <v>5.635</v>
      </c>
      <c r="M60" s="58">
        <v>3</v>
      </c>
      <c r="N60" s="49" t="s">
        <v>327</v>
      </c>
      <c r="O60" s="44">
        <f t="shared" si="1"/>
        <v>16.905</v>
      </c>
      <c r="P60" s="49"/>
    </row>
    <row r="61" customHeight="1" spans="1:16">
      <c r="A61" s="46">
        <v>31</v>
      </c>
      <c r="B61" s="47" t="s">
        <v>254</v>
      </c>
      <c r="C61" s="46"/>
      <c r="D61" s="48" t="s">
        <v>261</v>
      </c>
      <c r="E61" s="48" t="s">
        <v>259</v>
      </c>
      <c r="F61" s="49"/>
      <c r="G61" s="49"/>
      <c r="H61" s="49"/>
      <c r="I61" s="7">
        <v>50</v>
      </c>
      <c r="J61" s="7">
        <v>50</v>
      </c>
      <c r="K61" s="7">
        <v>2142</v>
      </c>
      <c r="L61" s="50">
        <v>6.552</v>
      </c>
      <c r="M61" s="58">
        <v>2</v>
      </c>
      <c r="N61" s="49" t="s">
        <v>327</v>
      </c>
      <c r="O61" s="44">
        <f t="shared" si="1"/>
        <v>13.104</v>
      </c>
      <c r="P61" s="49"/>
    </row>
    <row r="62" customHeight="1" spans="1:16">
      <c r="A62" s="46">
        <v>32</v>
      </c>
      <c r="B62" s="47" t="s">
        <v>254</v>
      </c>
      <c r="C62" s="46"/>
      <c r="D62" s="48" t="s">
        <v>262</v>
      </c>
      <c r="E62" s="48" t="s">
        <v>259</v>
      </c>
      <c r="F62" s="49"/>
      <c r="G62" s="49"/>
      <c r="H62" s="49"/>
      <c r="I62" s="7">
        <v>50</v>
      </c>
      <c r="J62" s="7">
        <v>50</v>
      </c>
      <c r="K62" s="7">
        <v>1882</v>
      </c>
      <c r="L62" s="50">
        <v>5.757</v>
      </c>
      <c r="M62" s="58">
        <v>2</v>
      </c>
      <c r="N62" s="49" t="s">
        <v>327</v>
      </c>
      <c r="O62" s="44">
        <f t="shared" si="1"/>
        <v>11.514</v>
      </c>
      <c r="P62" s="49"/>
    </row>
    <row r="63" customHeight="1" spans="1:16">
      <c r="A63" s="46">
        <v>33</v>
      </c>
      <c r="B63" s="47" t="s">
        <v>254</v>
      </c>
      <c r="C63" s="46"/>
      <c r="D63" s="48" t="s">
        <v>263</v>
      </c>
      <c r="E63" s="48" t="s">
        <v>259</v>
      </c>
      <c r="F63" s="49"/>
      <c r="G63" s="49"/>
      <c r="H63" s="49"/>
      <c r="I63" s="7">
        <v>50</v>
      </c>
      <c r="J63" s="7">
        <v>50</v>
      </c>
      <c r="K63" s="7">
        <v>4305</v>
      </c>
      <c r="L63" s="50">
        <v>13.169</v>
      </c>
      <c r="M63" s="58">
        <v>2</v>
      </c>
      <c r="N63" s="49" t="s">
        <v>327</v>
      </c>
      <c r="O63" s="44">
        <f t="shared" si="1"/>
        <v>26.338</v>
      </c>
      <c r="P63" s="49"/>
    </row>
    <row r="64" customHeight="1" spans="1:16">
      <c r="A64" s="46">
        <v>34</v>
      </c>
      <c r="B64" s="47" t="s">
        <v>254</v>
      </c>
      <c r="C64" s="46"/>
      <c r="D64" s="48" t="s">
        <v>267</v>
      </c>
      <c r="E64" s="48" t="s">
        <v>259</v>
      </c>
      <c r="F64" s="49"/>
      <c r="G64" s="49"/>
      <c r="H64" s="49"/>
      <c r="I64" s="7">
        <v>50</v>
      </c>
      <c r="J64" s="7">
        <v>50</v>
      </c>
      <c r="K64" s="7">
        <v>3143</v>
      </c>
      <c r="L64" s="50">
        <v>9.614</v>
      </c>
      <c r="M64" s="58">
        <v>2</v>
      </c>
      <c r="N64" s="49" t="s">
        <v>327</v>
      </c>
      <c r="O64" s="44">
        <f t="shared" si="1"/>
        <v>19.228</v>
      </c>
      <c r="P64" s="49"/>
    </row>
    <row r="65" customHeight="1" spans="1:18">
      <c r="A65" s="46">
        <v>35</v>
      </c>
      <c r="B65" s="47" t="s">
        <v>254</v>
      </c>
      <c r="C65" s="46"/>
      <c r="D65" s="48" t="s">
        <v>268</v>
      </c>
      <c r="E65" s="48" t="s">
        <v>259</v>
      </c>
      <c r="F65" s="49"/>
      <c r="G65" s="49"/>
      <c r="H65" s="49"/>
      <c r="I65" s="7">
        <v>50</v>
      </c>
      <c r="J65" s="7">
        <v>50</v>
      </c>
      <c r="K65" s="7">
        <v>3930</v>
      </c>
      <c r="L65" s="50">
        <v>12.022</v>
      </c>
      <c r="M65" s="58">
        <v>1</v>
      </c>
      <c r="N65" s="49" t="s">
        <v>327</v>
      </c>
      <c r="O65" s="44">
        <f t="shared" si="1"/>
        <v>12.022</v>
      </c>
      <c r="P65" s="49"/>
    </row>
    <row r="66" customHeight="1" spans="1:18">
      <c r="A66" s="46">
        <v>36</v>
      </c>
      <c r="B66" s="47" t="s">
        <v>254</v>
      </c>
      <c r="C66" s="46"/>
      <c r="D66" s="48" t="s">
        <v>269</v>
      </c>
      <c r="E66" s="48" t="s">
        <v>259</v>
      </c>
      <c r="F66" s="49"/>
      <c r="G66" s="49"/>
      <c r="H66" s="49"/>
      <c r="I66" s="7">
        <v>50</v>
      </c>
      <c r="J66" s="7">
        <v>50</v>
      </c>
      <c r="K66" s="7">
        <v>4688</v>
      </c>
      <c r="L66" s="50">
        <v>14.341</v>
      </c>
      <c r="M66" s="58">
        <v>1</v>
      </c>
      <c r="N66" s="49" t="s">
        <v>327</v>
      </c>
      <c r="O66" s="44">
        <f t="shared" si="1"/>
        <v>14.341</v>
      </c>
      <c r="P66" s="49"/>
    </row>
    <row r="67" customHeight="1" spans="1:18">
      <c r="A67" s="46">
        <v>37</v>
      </c>
      <c r="B67" s="47" t="s">
        <v>254</v>
      </c>
      <c r="C67" s="46"/>
      <c r="D67" s="48" t="s">
        <v>271</v>
      </c>
      <c r="E67" s="48" t="s">
        <v>259</v>
      </c>
      <c r="F67" s="49"/>
      <c r="G67" s="49"/>
      <c r="H67" s="49"/>
      <c r="I67" s="7">
        <v>50</v>
      </c>
      <c r="J67" s="7">
        <v>50</v>
      </c>
      <c r="K67" s="7">
        <v>840</v>
      </c>
      <c r="L67" s="50">
        <v>2.57</v>
      </c>
      <c r="M67" s="58">
        <v>1</v>
      </c>
      <c r="N67" s="49" t="s">
        <v>327</v>
      </c>
      <c r="O67" s="44">
        <f t="shared" si="1"/>
        <v>2.57</v>
      </c>
      <c r="P67" s="49"/>
    </row>
    <row r="68" customHeight="1" spans="1:18">
      <c r="A68" s="46">
        <v>38</v>
      </c>
      <c r="B68" s="47" t="s">
        <v>254</v>
      </c>
      <c r="C68" s="46"/>
      <c r="D68" s="48" t="s">
        <v>272</v>
      </c>
      <c r="E68" s="48" t="s">
        <v>259</v>
      </c>
      <c r="F68" s="49"/>
      <c r="G68" s="49"/>
      <c r="H68" s="49"/>
      <c r="I68" s="7">
        <v>50</v>
      </c>
      <c r="J68" s="7">
        <v>50</v>
      </c>
      <c r="K68" s="7">
        <v>2238</v>
      </c>
      <c r="L68" s="50">
        <v>6.846</v>
      </c>
      <c r="M68" s="58">
        <v>1</v>
      </c>
      <c r="N68" s="49" t="s">
        <v>327</v>
      </c>
      <c r="O68" s="44">
        <f t="shared" si="1"/>
        <v>6.846</v>
      </c>
      <c r="P68" s="49"/>
    </row>
    <row r="69" customHeight="1" spans="1:18">
      <c r="A69" s="46">
        <v>39</v>
      </c>
      <c r="B69" s="47" t="s">
        <v>254</v>
      </c>
      <c r="C69" s="46"/>
      <c r="D69" s="48" t="s">
        <v>273</v>
      </c>
      <c r="E69" s="48" t="s">
        <v>259</v>
      </c>
      <c r="F69" s="49"/>
      <c r="G69" s="49"/>
      <c r="H69" s="49"/>
      <c r="I69" s="7">
        <v>50</v>
      </c>
      <c r="J69" s="7">
        <v>50</v>
      </c>
      <c r="K69" s="7">
        <v>3397</v>
      </c>
      <c r="L69" s="50">
        <v>10.391</v>
      </c>
      <c r="M69" s="58">
        <v>1</v>
      </c>
      <c r="N69" s="49" t="s">
        <v>327</v>
      </c>
      <c r="O69" s="44">
        <f t="shared" si="1"/>
        <v>10.391</v>
      </c>
      <c r="P69" s="49"/>
    </row>
    <row r="70" customHeight="1" spans="1:18">
      <c r="A70" s="46">
        <v>40</v>
      </c>
      <c r="B70" s="47" t="s">
        <v>254</v>
      </c>
      <c r="C70" s="46"/>
      <c r="D70" s="48" t="s">
        <v>274</v>
      </c>
      <c r="E70" s="48" t="s">
        <v>259</v>
      </c>
      <c r="F70" s="49"/>
      <c r="G70" s="49"/>
      <c r="H70" s="49"/>
      <c r="I70" s="7">
        <v>50</v>
      </c>
      <c r="J70" s="7">
        <v>50</v>
      </c>
      <c r="K70" s="7">
        <v>3525</v>
      </c>
      <c r="L70" s="50">
        <v>10.783</v>
      </c>
      <c r="M70" s="58">
        <v>1</v>
      </c>
      <c r="N70" s="49" t="s">
        <v>327</v>
      </c>
      <c r="O70" s="44">
        <f t="shared" si="1"/>
        <v>10.783</v>
      </c>
      <c r="P70" s="49"/>
    </row>
    <row r="71" customHeight="1" spans="1:18">
      <c r="A71" s="46">
        <v>41</v>
      </c>
      <c r="B71" s="47" t="s">
        <v>254</v>
      </c>
      <c r="C71" s="46"/>
      <c r="D71" s="48" t="s">
        <v>277</v>
      </c>
      <c r="E71" s="48" t="s">
        <v>259</v>
      </c>
      <c r="F71" s="49"/>
      <c r="G71" s="49"/>
      <c r="H71" s="49"/>
      <c r="I71" s="7">
        <v>50</v>
      </c>
      <c r="J71" s="7">
        <v>50</v>
      </c>
      <c r="K71" s="7">
        <v>955</v>
      </c>
      <c r="L71" s="50">
        <v>2.921</v>
      </c>
      <c r="M71" s="58">
        <v>1</v>
      </c>
      <c r="N71" s="49" t="s">
        <v>327</v>
      </c>
      <c r="O71" s="44">
        <f t="shared" si="1"/>
        <v>2.921</v>
      </c>
      <c r="P71" s="49"/>
    </row>
    <row r="72" customHeight="1" spans="1:18">
      <c r="A72" s="46">
        <v>42</v>
      </c>
      <c r="B72" s="47" t="s">
        <v>254</v>
      </c>
      <c r="C72" s="46"/>
      <c r="D72" s="48" t="s">
        <v>283</v>
      </c>
      <c r="E72" s="48" t="s">
        <v>259</v>
      </c>
      <c r="F72" s="49"/>
      <c r="G72" s="49"/>
      <c r="H72" s="49"/>
      <c r="I72" s="7">
        <v>50</v>
      </c>
      <c r="J72" s="7">
        <v>50</v>
      </c>
      <c r="K72" s="7">
        <v>1702</v>
      </c>
      <c r="L72" s="50">
        <v>5.206</v>
      </c>
      <c r="M72" s="58">
        <v>5</v>
      </c>
      <c r="N72" s="49" t="s">
        <v>327</v>
      </c>
      <c r="O72" s="44">
        <f t="shared" si="1"/>
        <v>26.03</v>
      </c>
      <c r="P72" s="49"/>
    </row>
    <row r="73" customHeight="1" spans="1:18">
      <c r="A73" s="46">
        <v>43</v>
      </c>
      <c r="B73" s="47" t="s">
        <v>254</v>
      </c>
      <c r="C73" s="46"/>
      <c r="D73" s="48" t="s">
        <v>285</v>
      </c>
      <c r="E73" s="48" t="s">
        <v>259</v>
      </c>
      <c r="F73" s="49"/>
      <c r="G73" s="49"/>
      <c r="H73" s="49"/>
      <c r="I73" s="7">
        <v>50</v>
      </c>
      <c r="J73" s="7">
        <v>50</v>
      </c>
      <c r="K73" s="7">
        <v>2402</v>
      </c>
      <c r="L73" s="50">
        <v>7.348</v>
      </c>
      <c r="M73" s="58">
        <v>5</v>
      </c>
      <c r="N73" s="49" t="s">
        <v>327</v>
      </c>
      <c r="O73" s="44">
        <f t="shared" si="1"/>
        <v>36.74</v>
      </c>
      <c r="P73" s="49"/>
      <c r="Q73" s="38" t="s">
        <v>330</v>
      </c>
      <c r="R73" s="52"/>
    </row>
    <row r="74" customHeight="1" spans="1:18">
      <c r="A74" s="46">
        <v>44</v>
      </c>
      <c r="B74" s="47" t="s">
        <v>254</v>
      </c>
      <c r="C74" s="46"/>
      <c r="D74" s="48" t="s">
        <v>288</v>
      </c>
      <c r="E74" s="48" t="s">
        <v>259</v>
      </c>
      <c r="F74" s="49"/>
      <c r="G74" s="49"/>
      <c r="H74" s="49"/>
      <c r="I74" s="7">
        <v>50</v>
      </c>
      <c r="J74" s="7">
        <v>50</v>
      </c>
      <c r="K74" s="7">
        <v>6000</v>
      </c>
      <c r="L74" s="50">
        <v>18.354</v>
      </c>
      <c r="M74" s="58">
        <v>5</v>
      </c>
      <c r="N74" s="49" t="s">
        <v>327</v>
      </c>
      <c r="O74" s="44">
        <f t="shared" si="1"/>
        <v>91.77</v>
      </c>
      <c r="P74" s="49"/>
      <c r="R74" s="52"/>
    </row>
    <row r="75" customHeight="1" spans="1:18">
      <c r="A75" s="46">
        <v>45</v>
      </c>
      <c r="B75" s="47" t="s">
        <v>254</v>
      </c>
      <c r="C75" s="46"/>
      <c r="D75" s="48" t="s">
        <v>296</v>
      </c>
      <c r="E75" s="48" t="s">
        <v>296</v>
      </c>
      <c r="F75" s="49"/>
      <c r="G75" s="49"/>
      <c r="H75" s="49"/>
      <c r="I75" s="7">
        <v>50</v>
      </c>
      <c r="J75" s="7">
        <v>50</v>
      </c>
      <c r="K75" s="7">
        <v>2220</v>
      </c>
      <c r="L75" s="50">
        <v>6.791</v>
      </c>
      <c r="M75" s="58">
        <v>1</v>
      </c>
      <c r="N75" s="49" t="s">
        <v>327</v>
      </c>
      <c r="O75" s="44">
        <f t="shared" si="1"/>
        <v>6.791</v>
      </c>
      <c r="P75" s="49"/>
      <c r="Q75" s="38">
        <f>+I76*J76*K76/1000000000</f>
        <v>7.7</v>
      </c>
      <c r="R75" s="52" t="s">
        <v>331</v>
      </c>
    </row>
    <row r="76" customHeight="1" spans="1:18">
      <c r="A76" s="46"/>
      <c r="B76" s="42"/>
      <c r="C76" s="42"/>
      <c r="D76" s="45" t="s">
        <v>354</v>
      </c>
      <c r="E76" s="45"/>
      <c r="F76" s="42"/>
      <c r="G76" s="42"/>
      <c r="H76" s="42"/>
      <c r="I76" s="59">
        <v>4000</v>
      </c>
      <c r="J76" s="42">
        <v>1100</v>
      </c>
      <c r="K76" s="42">
        <v>1750</v>
      </c>
      <c r="L76" s="42"/>
      <c r="M76" s="58">
        <v>1</v>
      </c>
      <c r="N76" s="45"/>
      <c r="O76" s="53">
        <v>251</v>
      </c>
      <c r="P76" s="45"/>
    </row>
    <row r="77" customHeight="1" spans="1:18">
      <c r="A77" s="54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49">
        <f>SUM(M31:M75)</f>
        <v>91</v>
      </c>
      <c r="N77" s="55"/>
      <c r="O77" s="56">
        <f>SUM(O31:O76)</f>
        <v>6163.407</v>
      </c>
      <c r="P77" s="57"/>
    </row>
    <row r="79" customHeight="1" spans="1:18">
      <c r="A79" s="39" t="s">
        <v>312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40"/>
      <c r="P79" s="39"/>
      <c r="Q79" s="38" t="s">
        <v>355</v>
      </c>
    </row>
    <row r="80" customHeight="1" spans="1:18">
      <c r="A80" s="41" t="s">
        <v>356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</row>
    <row r="81" customHeight="1" spans="1:18">
      <c r="A81" s="42" t="s">
        <v>11</v>
      </c>
      <c r="B81" s="42" t="s">
        <v>57</v>
      </c>
      <c r="C81" s="42" t="s">
        <v>315</v>
      </c>
      <c r="D81" s="42" t="s">
        <v>316</v>
      </c>
      <c r="E81" s="42" t="s">
        <v>70</v>
      </c>
      <c r="F81" s="42" t="s">
        <v>317</v>
      </c>
      <c r="G81" s="42" t="s">
        <v>318</v>
      </c>
      <c r="H81" s="42" t="s">
        <v>319</v>
      </c>
      <c r="I81" s="42" t="s">
        <v>320</v>
      </c>
      <c r="J81" s="42" t="s">
        <v>321</v>
      </c>
      <c r="K81" s="42" t="s">
        <v>322</v>
      </c>
      <c r="L81" s="43" t="s">
        <v>323</v>
      </c>
      <c r="M81" s="42" t="s">
        <v>17</v>
      </c>
      <c r="N81" s="42" t="s">
        <v>324</v>
      </c>
      <c r="O81" s="44" t="s">
        <v>325</v>
      </c>
      <c r="P81" s="45" t="s">
        <v>326</v>
      </c>
    </row>
    <row r="82" customHeight="1" spans="1:18">
      <c r="A82" s="46">
        <v>1</v>
      </c>
      <c r="B82" s="47" t="s">
        <v>115</v>
      </c>
      <c r="C82" s="46"/>
      <c r="D82" s="48" t="s">
        <v>120</v>
      </c>
      <c r="E82" s="48" t="s">
        <v>120</v>
      </c>
      <c r="F82" s="49"/>
      <c r="G82" s="49"/>
      <c r="H82" s="49"/>
      <c r="I82" s="7">
        <v>1100</v>
      </c>
      <c r="J82" s="7">
        <v>4074</v>
      </c>
      <c r="K82" s="7">
        <v>42</v>
      </c>
      <c r="L82" s="50">
        <v>33.322</v>
      </c>
      <c r="M82" s="51">
        <v>4</v>
      </c>
      <c r="N82" s="49" t="s">
        <v>327</v>
      </c>
      <c r="O82" s="44">
        <f t="shared" ref="O82:O97" si="2">+M82*L82</f>
        <v>133.288</v>
      </c>
      <c r="P82" s="49"/>
    </row>
    <row r="83" customHeight="1" spans="1:18">
      <c r="A83" s="46">
        <v>2</v>
      </c>
      <c r="B83" s="47" t="s">
        <v>105</v>
      </c>
      <c r="C83" s="46"/>
      <c r="D83" s="48" t="s">
        <v>123</v>
      </c>
      <c r="E83" s="48" t="s">
        <v>124</v>
      </c>
      <c r="F83" s="49"/>
      <c r="G83" s="49"/>
      <c r="H83" s="49"/>
      <c r="I83" s="7">
        <v>250</v>
      </c>
      <c r="J83" s="7">
        <v>250</v>
      </c>
      <c r="K83" s="7">
        <v>4721</v>
      </c>
      <c r="L83" s="50">
        <v>286.991</v>
      </c>
      <c r="M83" s="51">
        <v>4</v>
      </c>
      <c r="N83" s="49" t="s">
        <v>327</v>
      </c>
      <c r="O83" s="44">
        <f t="shared" si="2"/>
        <v>1147.964</v>
      </c>
      <c r="P83" s="49"/>
    </row>
    <row r="84" customHeight="1" spans="1:18">
      <c r="A84" s="46">
        <v>3</v>
      </c>
      <c r="B84" s="47" t="s">
        <v>105</v>
      </c>
      <c r="C84" s="46"/>
      <c r="D84" s="48" t="s">
        <v>127</v>
      </c>
      <c r="E84" s="48" t="s">
        <v>124</v>
      </c>
      <c r="F84" s="49"/>
      <c r="G84" s="49"/>
      <c r="H84" s="49"/>
      <c r="I84" s="7">
        <v>250</v>
      </c>
      <c r="J84" s="7">
        <v>250</v>
      </c>
      <c r="K84" s="7">
        <v>4076</v>
      </c>
      <c r="L84" s="50">
        <v>247.782</v>
      </c>
      <c r="M84" s="51">
        <v>5</v>
      </c>
      <c r="N84" s="49" t="s">
        <v>327</v>
      </c>
      <c r="O84" s="44">
        <f t="shared" si="2"/>
        <v>1238.91</v>
      </c>
      <c r="P84" s="49"/>
    </row>
    <row r="85" customHeight="1" spans="1:18">
      <c r="A85" s="46">
        <v>4</v>
      </c>
      <c r="B85" s="47" t="s">
        <v>105</v>
      </c>
      <c r="C85" s="46"/>
      <c r="D85" s="48" t="s">
        <v>131</v>
      </c>
      <c r="E85" s="48" t="s">
        <v>131</v>
      </c>
      <c r="F85" s="49"/>
      <c r="G85" s="49"/>
      <c r="H85" s="49"/>
      <c r="I85" s="7">
        <v>250</v>
      </c>
      <c r="J85" s="7">
        <v>250</v>
      </c>
      <c r="K85" s="7">
        <v>4085</v>
      </c>
      <c r="L85" s="50">
        <v>248.329</v>
      </c>
      <c r="M85" s="51">
        <v>3</v>
      </c>
      <c r="N85" s="49" t="s">
        <v>327</v>
      </c>
      <c r="O85" s="44">
        <f t="shared" si="2"/>
        <v>744.987</v>
      </c>
      <c r="P85" s="49"/>
    </row>
    <row r="86" customHeight="1" spans="1:18">
      <c r="A86" s="46">
        <v>5</v>
      </c>
      <c r="B86" s="47" t="s">
        <v>105</v>
      </c>
      <c r="C86" s="46"/>
      <c r="D86" s="48" t="s">
        <v>142</v>
      </c>
      <c r="E86" s="48" t="s">
        <v>139</v>
      </c>
      <c r="F86" s="49"/>
      <c r="G86" s="49"/>
      <c r="H86" s="49"/>
      <c r="I86" s="7">
        <v>120</v>
      </c>
      <c r="J86" s="7">
        <v>120</v>
      </c>
      <c r="K86" s="7">
        <v>4770</v>
      </c>
      <c r="L86" s="50">
        <v>102.448</v>
      </c>
      <c r="M86" s="51">
        <v>4</v>
      </c>
      <c r="N86" s="49" t="s">
        <v>327</v>
      </c>
      <c r="O86" s="44">
        <f t="shared" si="2"/>
        <v>409.792</v>
      </c>
      <c r="P86" s="49"/>
    </row>
    <row r="87" customHeight="1" spans="1:18">
      <c r="A87" s="46">
        <v>6</v>
      </c>
      <c r="B87" s="47" t="s">
        <v>105</v>
      </c>
      <c r="C87" s="46"/>
      <c r="D87" s="48" t="s">
        <v>149</v>
      </c>
      <c r="E87" s="48" t="s">
        <v>139</v>
      </c>
      <c r="F87" s="49"/>
      <c r="G87" s="49"/>
      <c r="H87" s="49"/>
      <c r="I87" s="7">
        <v>120</v>
      </c>
      <c r="J87" s="7">
        <v>120</v>
      </c>
      <c r="K87" s="7">
        <v>4125</v>
      </c>
      <c r="L87" s="50">
        <v>88.595</v>
      </c>
      <c r="M87" s="51">
        <v>3</v>
      </c>
      <c r="N87" s="49" t="s">
        <v>327</v>
      </c>
      <c r="O87" s="44">
        <f t="shared" si="2"/>
        <v>265.785</v>
      </c>
      <c r="P87" s="49"/>
    </row>
    <row r="88" customHeight="1" spans="1:18">
      <c r="A88" s="46">
        <v>7</v>
      </c>
      <c r="B88" s="47" t="s">
        <v>105</v>
      </c>
      <c r="C88" s="46"/>
      <c r="D88" s="48" t="s">
        <v>178</v>
      </c>
      <c r="E88" s="48" t="s">
        <v>179</v>
      </c>
      <c r="F88" s="49"/>
      <c r="G88" s="49"/>
      <c r="H88" s="49"/>
      <c r="I88" s="7">
        <v>80</v>
      </c>
      <c r="J88" s="7">
        <v>80</v>
      </c>
      <c r="K88" s="7">
        <v>4115</v>
      </c>
      <c r="L88" s="50">
        <v>39.28</v>
      </c>
      <c r="M88" s="51">
        <v>8</v>
      </c>
      <c r="N88" s="49" t="s">
        <v>327</v>
      </c>
      <c r="O88" s="44">
        <f t="shared" si="2"/>
        <v>314.24</v>
      </c>
      <c r="P88" s="49"/>
    </row>
    <row r="89" customHeight="1" spans="1:18">
      <c r="A89" s="46">
        <v>8</v>
      </c>
      <c r="B89" s="47" t="s">
        <v>105</v>
      </c>
      <c r="C89" s="46"/>
      <c r="D89" s="48" t="s">
        <v>182</v>
      </c>
      <c r="E89" s="48" t="s">
        <v>179</v>
      </c>
      <c r="F89" s="49"/>
      <c r="G89" s="49"/>
      <c r="H89" s="49"/>
      <c r="I89" s="7">
        <v>80</v>
      </c>
      <c r="J89" s="7">
        <v>80</v>
      </c>
      <c r="K89" s="7">
        <v>5015</v>
      </c>
      <c r="L89" s="50">
        <v>47.871</v>
      </c>
      <c r="M89" s="51">
        <v>9</v>
      </c>
      <c r="N89" s="49" t="s">
        <v>327</v>
      </c>
      <c r="O89" s="44">
        <f t="shared" si="2"/>
        <v>430.839</v>
      </c>
      <c r="P89" s="49"/>
    </row>
    <row r="90" customHeight="1" spans="1:18">
      <c r="A90" s="46">
        <v>9</v>
      </c>
      <c r="B90" s="47" t="s">
        <v>105</v>
      </c>
      <c r="C90" s="46"/>
      <c r="D90" s="48" t="s">
        <v>201</v>
      </c>
      <c r="E90" s="48" t="s">
        <v>201</v>
      </c>
      <c r="F90" s="49"/>
      <c r="G90" s="49"/>
      <c r="H90" s="49"/>
      <c r="I90" s="7">
        <v>120</v>
      </c>
      <c r="J90" s="7">
        <v>60</v>
      </c>
      <c r="K90" s="7">
        <v>4580</v>
      </c>
      <c r="L90" s="50">
        <v>49.471</v>
      </c>
      <c r="M90" s="51">
        <v>2</v>
      </c>
      <c r="N90" s="49" t="s">
        <v>327</v>
      </c>
      <c r="O90" s="44">
        <f t="shared" si="2"/>
        <v>98.942</v>
      </c>
      <c r="P90" s="49"/>
    </row>
    <row r="91" customHeight="1" spans="1:18">
      <c r="A91" s="46">
        <v>10</v>
      </c>
      <c r="B91" s="47" t="s">
        <v>105</v>
      </c>
      <c r="C91" s="46"/>
      <c r="D91" s="48" t="s">
        <v>209</v>
      </c>
      <c r="E91" s="48" t="s">
        <v>208</v>
      </c>
      <c r="F91" s="49"/>
      <c r="G91" s="49"/>
      <c r="H91" s="49"/>
      <c r="I91" s="7">
        <v>100</v>
      </c>
      <c r="J91" s="7">
        <v>100</v>
      </c>
      <c r="K91" s="7">
        <v>4580</v>
      </c>
      <c r="L91" s="50">
        <v>55.224</v>
      </c>
      <c r="M91" s="51">
        <v>1</v>
      </c>
      <c r="N91" s="49" t="s">
        <v>327</v>
      </c>
      <c r="O91" s="44">
        <f t="shared" si="2"/>
        <v>55.224</v>
      </c>
      <c r="P91" s="49"/>
    </row>
    <row r="92" customHeight="1" spans="1:18">
      <c r="A92" s="46">
        <v>11</v>
      </c>
      <c r="B92" s="47" t="s">
        <v>105</v>
      </c>
      <c r="C92" s="46"/>
      <c r="D92" s="48" t="s">
        <v>210</v>
      </c>
      <c r="E92" s="48" t="s">
        <v>208</v>
      </c>
      <c r="F92" s="49"/>
      <c r="G92" s="49"/>
      <c r="H92" s="49"/>
      <c r="I92" s="7">
        <v>100</v>
      </c>
      <c r="J92" s="7">
        <v>100</v>
      </c>
      <c r="K92" s="7">
        <v>4236</v>
      </c>
      <c r="L92" s="50">
        <v>51.076</v>
      </c>
      <c r="M92" s="51">
        <v>4</v>
      </c>
      <c r="N92" s="49" t="s">
        <v>327</v>
      </c>
      <c r="O92" s="44">
        <f t="shared" si="2"/>
        <v>204.304</v>
      </c>
      <c r="P92" s="49"/>
    </row>
    <row r="93" customHeight="1" spans="1:18">
      <c r="A93" s="46">
        <v>12</v>
      </c>
      <c r="B93" s="47" t="s">
        <v>105</v>
      </c>
      <c r="C93" s="46"/>
      <c r="D93" s="48" t="s">
        <v>219</v>
      </c>
      <c r="E93" s="48" t="s">
        <v>220</v>
      </c>
      <c r="F93" s="49"/>
      <c r="G93" s="49"/>
      <c r="H93" s="49"/>
      <c r="I93" s="7">
        <v>150</v>
      </c>
      <c r="J93" s="7">
        <v>100</v>
      </c>
      <c r="K93" s="7">
        <v>4794</v>
      </c>
      <c r="L93" s="50">
        <v>72.857</v>
      </c>
      <c r="M93" s="51">
        <v>1</v>
      </c>
      <c r="N93" s="49" t="s">
        <v>327</v>
      </c>
      <c r="O93" s="44">
        <f t="shared" si="2"/>
        <v>72.857</v>
      </c>
      <c r="P93" s="49"/>
    </row>
    <row r="94" customHeight="1" spans="1:18">
      <c r="A94" s="46">
        <v>13</v>
      </c>
      <c r="B94" s="47" t="s">
        <v>105</v>
      </c>
      <c r="C94" s="46"/>
      <c r="D94" s="48" t="s">
        <v>221</v>
      </c>
      <c r="E94" s="48" t="s">
        <v>220</v>
      </c>
      <c r="F94" s="49"/>
      <c r="G94" s="49"/>
      <c r="H94" s="49"/>
      <c r="I94" s="7">
        <v>150</v>
      </c>
      <c r="J94" s="7">
        <v>100</v>
      </c>
      <c r="K94" s="7">
        <v>4574</v>
      </c>
      <c r="L94" s="50">
        <v>69.514</v>
      </c>
      <c r="M94" s="51">
        <v>1</v>
      </c>
      <c r="N94" s="49" t="s">
        <v>327</v>
      </c>
      <c r="O94" s="44">
        <f t="shared" si="2"/>
        <v>69.514</v>
      </c>
      <c r="P94" s="49"/>
    </row>
    <row r="95" customHeight="1" spans="1:18">
      <c r="A95" s="46">
        <v>14</v>
      </c>
      <c r="B95" s="47" t="s">
        <v>105</v>
      </c>
      <c r="C95" s="46"/>
      <c r="D95" s="48" t="s">
        <v>250</v>
      </c>
      <c r="E95" s="48" t="s">
        <v>250</v>
      </c>
      <c r="F95" s="49"/>
      <c r="G95" s="49"/>
      <c r="H95" s="49"/>
      <c r="I95" s="7">
        <v>50</v>
      </c>
      <c r="J95" s="7">
        <v>50</v>
      </c>
      <c r="K95" s="7">
        <v>3498.8</v>
      </c>
      <c r="L95" s="50">
        <v>24.719</v>
      </c>
      <c r="M95" s="51">
        <v>1</v>
      </c>
      <c r="N95" s="49" t="s">
        <v>327</v>
      </c>
      <c r="O95" s="44">
        <f t="shared" si="2"/>
        <v>24.719</v>
      </c>
      <c r="P95" s="49"/>
    </row>
    <row r="96" customHeight="1" spans="1:18">
      <c r="A96" s="46">
        <v>15</v>
      </c>
      <c r="B96" s="47" t="s">
        <v>105</v>
      </c>
      <c r="C96" s="46"/>
      <c r="D96" s="48" t="s">
        <v>252</v>
      </c>
      <c r="E96" s="48" t="s">
        <v>252</v>
      </c>
      <c r="F96" s="49"/>
      <c r="G96" s="49"/>
      <c r="H96" s="49"/>
      <c r="I96" s="7">
        <v>50</v>
      </c>
      <c r="J96" s="7">
        <v>50</v>
      </c>
      <c r="K96" s="7">
        <v>3825</v>
      </c>
      <c r="L96" s="50">
        <v>27.024</v>
      </c>
      <c r="M96" s="51">
        <v>1</v>
      </c>
      <c r="N96" s="49" t="s">
        <v>327</v>
      </c>
      <c r="O96" s="44">
        <f t="shared" si="2"/>
        <v>27.024</v>
      </c>
      <c r="P96" s="49"/>
      <c r="Q96" s="38" t="s">
        <v>330</v>
      </c>
      <c r="R96" s="52"/>
    </row>
    <row r="97" customHeight="1" spans="1:19">
      <c r="A97" s="46">
        <v>16</v>
      </c>
      <c r="B97" s="47" t="s">
        <v>105</v>
      </c>
      <c r="C97" s="46"/>
      <c r="D97" s="48" t="s">
        <v>253</v>
      </c>
      <c r="E97" s="48" t="s">
        <v>253</v>
      </c>
      <c r="F97" s="49"/>
      <c r="G97" s="49"/>
      <c r="H97" s="49"/>
      <c r="I97" s="7">
        <v>50</v>
      </c>
      <c r="J97" s="7">
        <v>50</v>
      </c>
      <c r="K97" s="7">
        <v>3825</v>
      </c>
      <c r="L97" s="50">
        <v>27.024</v>
      </c>
      <c r="M97" s="51">
        <v>1</v>
      </c>
      <c r="N97" s="49" t="s">
        <v>327</v>
      </c>
      <c r="O97" s="44">
        <f t="shared" si="2"/>
        <v>27.024</v>
      </c>
      <c r="P97" s="49"/>
      <c r="R97" s="52"/>
    </row>
    <row r="98" customHeight="1" spans="1:19">
      <c r="A98" s="46"/>
      <c r="B98" s="42"/>
      <c r="C98" s="42"/>
      <c r="D98" s="45" t="s">
        <v>354</v>
      </c>
      <c r="E98" s="45"/>
      <c r="F98" s="42"/>
      <c r="G98" s="42"/>
      <c r="H98" s="42"/>
      <c r="I98" s="59">
        <v>4000</v>
      </c>
      <c r="J98" s="42">
        <v>1100</v>
      </c>
      <c r="K98" s="42">
        <v>1750</v>
      </c>
      <c r="L98" s="42"/>
      <c r="M98" s="58">
        <v>1</v>
      </c>
      <c r="N98" s="45"/>
      <c r="O98" s="53">
        <v>251</v>
      </c>
      <c r="P98" s="45"/>
      <c r="Q98" s="38">
        <f>+I98*J98*K98/1000000000</f>
        <v>7.7</v>
      </c>
      <c r="R98" s="52" t="s">
        <v>331</v>
      </c>
    </row>
    <row r="99" customHeight="1" spans="1:19">
      <c r="A99" s="54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49">
        <f>SUM(M82:M97)</f>
        <v>52</v>
      </c>
      <c r="N99" s="55"/>
      <c r="O99" s="56">
        <f>SUM(O82:O98)</f>
        <v>5516.413</v>
      </c>
      <c r="P99" s="57"/>
    </row>
    <row r="100" customHeight="1" spans="1:19">
      <c r="Q100" s="38" t="s">
        <v>345</v>
      </c>
      <c r="R100" s="37">
        <f>+Q98+Q75+Q25</f>
        <v>19.25</v>
      </c>
      <c r="S100" s="52" t="s">
        <v>331</v>
      </c>
    </row>
    <row r="102" customHeight="1" spans="1:19">
      <c r="Q102" s="60" t="s">
        <v>346</v>
      </c>
    </row>
    <row r="103" customHeight="1" spans="1:19">
      <c r="Q103" s="60" t="s">
        <v>347</v>
      </c>
    </row>
  </sheetData>
  <mergeCells count="6">
    <mergeCell ref="A3:P3"/>
    <mergeCell ref="A4:P4"/>
    <mergeCell ref="A28:P28"/>
    <mergeCell ref="A29:P29"/>
    <mergeCell ref="A79:P79"/>
    <mergeCell ref="A80:P80"/>
  </mergeCells>
  <printOptions horizontalCentered="1"/>
  <pageMargins left="0" right="0" top="0" bottom="0" header="0.5" footer="0.5"/>
  <pageSetup paperSize="9" scale="58" orientation="landscape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zoomScale="85" zoomScaleNormal="85" workbookViewId="0">
      <selection activeCell="G22" sqref="G22"/>
    </sheetView>
  </sheetViews>
  <sheetFormatPr defaultColWidth="12" defaultRowHeight="20.1" customHeight="1"/>
  <cols>
    <col min="1" max="1" width="11.125" customWidth="1"/>
    <col min="2" max="2" width="9.875" customWidth="1"/>
    <col min="3" max="3" width="17.125" customWidth="1"/>
    <col min="4" max="4" width="12" customWidth="1"/>
    <col min="5" max="5" width="9.5" customWidth="1"/>
    <col min="6" max="6" width="8.375" customWidth="1"/>
    <col min="7" max="7" width="9.375" customWidth="1"/>
    <col min="8" max="8" width="8.5" customWidth="1"/>
    <col min="9" max="9" width="10" customWidth="1"/>
    <col min="10" max="10" width="8.125" customWidth="1"/>
    <col min="11" max="11" width="11.5" customWidth="1"/>
    <col min="12" max="12" width="9.5" style="2" customWidth="1"/>
    <col min="15" max="15" width="10.375" customWidth="1"/>
    <col min="16" max="17" width="13.875" customWidth="1"/>
    <col min="18" max="19" width="10.375" customWidth="1"/>
    <col min="20" max="20" width="8.5" customWidth="1"/>
  </cols>
  <sheetData>
    <row r="1" customHeight="1" spans="1:21">
      <c r="A1" s="4" t="s">
        <v>14</v>
      </c>
      <c r="B1" s="4" t="s">
        <v>357</v>
      </c>
      <c r="C1" s="4" t="s">
        <v>27</v>
      </c>
      <c r="D1" s="4" t="s">
        <v>358</v>
      </c>
      <c r="E1" s="4" t="s">
        <v>359</v>
      </c>
      <c r="F1" s="4" t="s">
        <v>360</v>
      </c>
      <c r="G1" s="4" t="s">
        <v>361</v>
      </c>
      <c r="H1" s="4" t="s">
        <v>17</v>
      </c>
      <c r="I1" s="4" t="s">
        <v>362</v>
      </c>
      <c r="J1" s="4" t="s">
        <v>363</v>
      </c>
      <c r="K1" s="5" t="s">
        <v>364</v>
      </c>
      <c r="L1" s="5" t="s">
        <v>365</v>
      </c>
      <c r="O1" s="6" t="s">
        <v>366</v>
      </c>
      <c r="P1" s="7" t="s">
        <v>358</v>
      </c>
      <c r="Q1" s="8" t="s">
        <v>362</v>
      </c>
      <c r="R1" s="8" t="s">
        <v>367</v>
      </c>
      <c r="S1" s="8" t="s">
        <v>361</v>
      </c>
      <c r="T1" s="8" t="s">
        <v>17</v>
      </c>
      <c r="U1" s="8" t="s">
        <v>363</v>
      </c>
    </row>
    <row r="2" customHeight="1" spans="1:21">
      <c r="A2" s="9" t="e">
        <f>#REF!</f>
        <v>#REF!</v>
      </c>
      <c r="B2" s="9"/>
      <c r="C2" s="9"/>
      <c r="D2" s="9">
        <f>J2*I2*G2*H2</f>
        <v>0</v>
      </c>
      <c r="E2" s="10"/>
      <c r="F2" s="11"/>
      <c r="G2" s="10"/>
      <c r="H2" s="10">
        <v>1</v>
      </c>
      <c r="I2" s="9">
        <f>E2*F2/10^6</f>
        <v>0</v>
      </c>
      <c r="J2" s="12">
        <v>7.85</v>
      </c>
      <c r="K2" s="13"/>
      <c r="L2" s="9" t="e">
        <f>#REF!</f>
        <v>#REF!</v>
      </c>
      <c r="O2" s="14" t="s">
        <v>368</v>
      </c>
      <c r="P2" s="15">
        <f>Q2*S2*U2*T2</f>
        <v>0</v>
      </c>
      <c r="Q2" s="16">
        <f>3.141592653*R2*R2/10^6</f>
        <v>0</v>
      </c>
      <c r="R2" s="17"/>
      <c r="S2" s="18">
        <v>1</v>
      </c>
      <c r="T2" s="18">
        <v>1</v>
      </c>
      <c r="U2" s="19">
        <f>$J$2</f>
        <v>7.85</v>
      </c>
    </row>
    <row r="3" customHeight="1" spans="1:21">
      <c r="A3" s="4"/>
      <c r="B3" s="4"/>
      <c r="C3" s="4"/>
      <c r="D3" s="4">
        <f t="shared" ref="D3:D9" si="0">J3*I3*G3*H3</f>
        <v>0</v>
      </c>
      <c r="E3" s="5"/>
      <c r="F3" s="20"/>
      <c r="G3" s="7"/>
      <c r="H3" s="5">
        <v>1</v>
      </c>
      <c r="I3" s="4">
        <f t="shared" ref="I3:I9" si="1">E3*F3/10^6</f>
        <v>0</v>
      </c>
      <c r="J3" s="4">
        <f>$J$2</f>
        <v>7.85</v>
      </c>
      <c r="K3" s="21"/>
      <c r="L3" s="4" t="e">
        <f>#REF!</f>
        <v>#REF!</v>
      </c>
      <c r="O3" s="22"/>
      <c r="P3" s="23">
        <f>Q3*S3*U3*T3</f>
        <v>0</v>
      </c>
      <c r="Q3" s="18">
        <f>3.141592653*R3*R3/10^6</f>
        <v>0</v>
      </c>
      <c r="R3" s="17"/>
      <c r="S3" s="18"/>
      <c r="T3" s="18">
        <v>1</v>
      </c>
      <c r="U3" s="19">
        <f t="shared" ref="U3:U4" si="2">$J$2</f>
        <v>7.85</v>
      </c>
    </row>
    <row r="4" customHeight="1" spans="1:21">
      <c r="A4" s="4"/>
      <c r="B4" s="4"/>
      <c r="C4" s="4"/>
      <c r="D4" s="4">
        <f t="shared" si="0"/>
        <v>0</v>
      </c>
      <c r="E4" s="4"/>
      <c r="F4" s="4"/>
      <c r="G4" s="4"/>
      <c r="H4" s="4">
        <v>1</v>
      </c>
      <c r="I4" s="4">
        <f t="shared" si="1"/>
        <v>0</v>
      </c>
      <c r="J4" s="4">
        <f>$J$2</f>
        <v>7.85</v>
      </c>
      <c r="K4" s="21"/>
      <c r="L4" s="4" t="e">
        <f>#REF!</f>
        <v>#REF!</v>
      </c>
      <c r="O4" s="22"/>
      <c r="P4" s="23">
        <f>Q4*S4*U4*T4</f>
        <v>0</v>
      </c>
      <c r="Q4" s="18">
        <f>3.141592653*R4*R4/10^6</f>
        <v>0</v>
      </c>
      <c r="R4" s="17"/>
      <c r="S4" s="18"/>
      <c r="T4" s="18">
        <v>1</v>
      </c>
      <c r="U4" s="19">
        <f t="shared" si="2"/>
        <v>7.85</v>
      </c>
    </row>
    <row r="5" customHeight="1" spans="1:21">
      <c r="A5" s="4"/>
      <c r="B5" s="4"/>
      <c r="C5" s="4"/>
      <c r="D5" s="4">
        <f t="shared" si="0"/>
        <v>0</v>
      </c>
      <c r="E5" s="4"/>
      <c r="F5" s="4"/>
      <c r="G5" s="4"/>
      <c r="H5" s="4">
        <v>1</v>
      </c>
      <c r="I5" s="4">
        <f t="shared" si="1"/>
        <v>0</v>
      </c>
      <c r="J5" s="4">
        <f>$J$2</f>
        <v>7.85</v>
      </c>
      <c r="K5" s="21"/>
      <c r="L5" s="4" t="e">
        <f>#REF!</f>
        <v>#REF!</v>
      </c>
      <c r="O5" s="24"/>
      <c r="P5" s="25">
        <f>SUM(P2:P4)</f>
        <v>0</v>
      </c>
      <c r="Q5" s="26" t="s">
        <v>22</v>
      </c>
      <c r="R5" s="27"/>
      <c r="S5" s="27"/>
      <c r="T5" s="27"/>
      <c r="U5" s="28"/>
    </row>
    <row r="6" customHeight="1" spans="1:21">
      <c r="A6" s="4"/>
      <c r="B6" s="4"/>
      <c r="C6" s="4"/>
      <c r="D6" s="4">
        <f t="shared" si="0"/>
        <v>0</v>
      </c>
      <c r="E6" s="4"/>
      <c r="F6" s="4"/>
      <c r="G6" s="4"/>
      <c r="H6" s="4">
        <v>1</v>
      </c>
      <c r="I6" s="4">
        <f t="shared" si="1"/>
        <v>0</v>
      </c>
      <c r="J6" s="4">
        <f>$J$2</f>
        <v>7.85</v>
      </c>
      <c r="K6" s="21"/>
      <c r="L6" s="4" t="e">
        <f>#REF!</f>
        <v>#REF!</v>
      </c>
    </row>
    <row r="7" customHeight="1" spans="1:21">
      <c r="A7" s="4"/>
      <c r="B7" s="4"/>
      <c r="C7" s="4"/>
      <c r="D7" s="4">
        <f t="shared" si="0"/>
        <v>0</v>
      </c>
      <c r="E7" s="4"/>
      <c r="F7" s="4"/>
      <c r="G7" s="5"/>
      <c r="H7" s="4">
        <v>1</v>
      </c>
      <c r="I7" s="4">
        <f t="shared" si="1"/>
        <v>0</v>
      </c>
      <c r="J7" s="4">
        <f>$J$2</f>
        <v>7.85</v>
      </c>
      <c r="K7" s="21"/>
      <c r="L7" s="4" t="e">
        <f>#REF!</f>
        <v>#REF!</v>
      </c>
    </row>
    <row r="8" customHeight="1" spans="1:21">
      <c r="A8" s="4"/>
      <c r="B8" s="4"/>
      <c r="C8" s="4"/>
      <c r="D8" s="4">
        <f t="shared" si="0"/>
        <v>0</v>
      </c>
      <c r="E8" s="4"/>
      <c r="F8" s="4"/>
      <c r="G8" s="5"/>
      <c r="H8" s="4">
        <v>1</v>
      </c>
      <c r="I8" s="4">
        <f t="shared" si="1"/>
        <v>0</v>
      </c>
      <c r="J8" s="4">
        <f t="shared" ref="J8:J9" si="3">$J$2</f>
        <v>7.85</v>
      </c>
      <c r="K8" s="21"/>
      <c r="L8" s="4" t="e">
        <f>#REF!</f>
        <v>#REF!</v>
      </c>
    </row>
    <row r="9" customHeight="1" spans="1:21">
      <c r="A9" s="29"/>
      <c r="B9" s="29"/>
      <c r="C9" s="29"/>
      <c r="D9" s="29">
        <f t="shared" si="0"/>
        <v>0</v>
      </c>
      <c r="E9" s="29"/>
      <c r="F9" s="29"/>
      <c r="G9" s="30"/>
      <c r="H9" s="29">
        <v>1</v>
      </c>
      <c r="I9" s="29">
        <f t="shared" si="1"/>
        <v>0</v>
      </c>
      <c r="J9" s="29">
        <f t="shared" si="3"/>
        <v>7.85</v>
      </c>
      <c r="K9" s="31"/>
      <c r="L9" s="4" t="e">
        <f>#REF!</f>
        <v>#REF!</v>
      </c>
    </row>
    <row r="10" customHeight="1" spans="1:21">
      <c r="A10" s="4"/>
      <c r="B10" s="32" t="e">
        <f>A2</f>
        <v>#REF!</v>
      </c>
      <c r="C10" s="32" t="s">
        <v>22</v>
      </c>
      <c r="D10" s="33">
        <f>SUM(D2:D9)</f>
        <v>0</v>
      </c>
      <c r="E10" s="34"/>
      <c r="F10" s="27"/>
      <c r="G10" s="27"/>
      <c r="H10" s="27"/>
      <c r="I10" s="33">
        <f>SUM(I2:I9)</f>
        <v>0</v>
      </c>
      <c r="J10" s="27"/>
      <c r="K10" s="35"/>
      <c r="L10" s="36"/>
    </row>
  </sheetData>
  <mergeCells count="2">
    <mergeCell ref="Q5:U5"/>
    <mergeCell ref="O2:O5"/>
  </mergeCells>
  <pageMargins left="0.75" right="0.75" top="1" bottom="1" header="0.5" footer="0.5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D2" sqref="D2"/>
    </sheetView>
  </sheetViews>
  <sheetFormatPr defaultColWidth="9" defaultRowHeight="14.25" outlineLevelRow="1" outlineLevelCol="7"/>
  <cols>
    <col min="1" max="1" width="16.125" style="1" customWidth="1"/>
    <col min="2" max="2" width="9" style="1"/>
    <col min="3" max="8" width="9" style="2"/>
  </cols>
  <sheetData>
    <row r="1" spans="1:8">
      <c r="A1" s="1" t="s">
        <v>69</v>
      </c>
      <c r="B1" s="1" t="s">
        <v>358</v>
      </c>
      <c r="C1" s="3" t="s">
        <v>369</v>
      </c>
      <c r="D1" s="3" t="s">
        <v>364</v>
      </c>
      <c r="E1" s="3" t="s">
        <v>359</v>
      </c>
      <c r="F1" s="3" t="s">
        <v>360</v>
      </c>
      <c r="G1" s="2" t="s">
        <v>361</v>
      </c>
      <c r="H1" s="2" t="s">
        <v>363</v>
      </c>
    </row>
    <row r="2" spans="1:8">
      <c r="A2" s="1" t="str">
        <f>报价单!O8</f>
        <v>VMU01-MSB-L001</v>
      </c>
      <c r="B2" s="1">
        <f>E2/1000*D2*C2</f>
        <v>0</v>
      </c>
      <c r="C2" s="2">
        <v>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 otherUserPermission="visible"/>
  <rangeList sheetStid="5" master="" otherUserPermission="visible">
    <arrUserId title="内容_1_2" rangeCreator="" othersAccessPermission="edit"/>
  </rangeList>
  <rangeList sheetStid="11" master="" otherUserPermission="visible"/>
  <rangeList sheetStid="12" master="" otherUserPermission="visible"/>
  <rangeList sheetStid="3" master="" otherUserPermission="visible"/>
  <rangeList sheetStid="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下单表 (2)</vt:lpstr>
      <vt:lpstr>报价单</vt:lpstr>
      <vt:lpstr>7-20装货单1柜</vt:lpstr>
      <vt:lpstr>7-20装货单2柜</vt:lpstr>
      <vt:lpstr>计重2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蔓珠沙华</cp:lastModifiedBy>
  <dcterms:created xsi:type="dcterms:W3CDTF">1996-12-17T01:32:00Z</dcterms:created>
  <cp:lastPrinted>2026-03-16T12:52:00Z</cp:lastPrinted>
  <dcterms:modified xsi:type="dcterms:W3CDTF">2026-07-22T08:15:59Z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FA3F673981574F24A3BC22BC93970D93_13</vt:lpwstr>
  </property>
  <property fmtid="{D5CDD505-2E9C-101B-9397-08002B2CF9AE}" pid="4" name="commondata">
    <vt:lpwstr>eyJoZGlkIjoiMWM0Y2M3NmQ5M2Y3MTNjMWMwYmRhZTlhMDNjYTEyZDIifQ==</vt:lpwstr>
  </property>
  <property fmtid="{D5CDD505-2E9C-101B-9397-08002B2CF9AE}" pid="5" name="CalculationRule">
    <vt:i4>0</vt:i4>
  </property>
  <property fmtid="{D5CDD505-2E9C-101B-9397-08002B2CF9AE}" pid="6" name="KSOReadingLayout">
    <vt:bool>true</vt:bool>
  </property>
</Properties>
</file>